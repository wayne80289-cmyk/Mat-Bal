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.Akkaravit\Customer\TSGP\Forecast from Vendors\1410\"/>
    </mc:Choice>
  </mc:AlternateContent>
  <xr:revisionPtr revIDLastSave="0" documentId="8_{70ED17FB-BE8E-433A-B8B4-3FF30519309E}" xr6:coauthVersionLast="47" xr6:coauthVersionMax="47" xr10:uidLastSave="{00000000-0000-0000-0000-000000000000}"/>
  <bookViews>
    <workbookView xWindow="-108" yWindow="-108" windowWidth="23256" windowHeight="12456" tabRatio="864" firstSheet="1" activeTab="1" xr2:uid="{00000000-000D-0000-FFFF-FFFF00000000}"/>
  </bookViews>
  <sheets>
    <sheet name=" บจก. เอ็มซี (ISUZU) (2)" sheetId="305" state="hidden" r:id="rId1"/>
    <sheet name="บจก. เพนต้า" sheetId="302" r:id="rId2"/>
    <sheet name="Total  (2)" sheetId="299" state="hidden" r:id="rId3"/>
  </sheets>
  <externalReferences>
    <externalReference r:id="rId4"/>
    <externalReference r:id="rId5"/>
  </externalReferences>
  <definedNames>
    <definedName name="_xlnm._FilterDatabase" localSheetId="0" hidden="1">' บจก. เอ็มซี (ISUZU) (2)'!$A$10:$M$10</definedName>
    <definedName name="_xlnm._FilterDatabase" localSheetId="2" hidden="1">'Total  (2)'!$A$1:$N$339</definedName>
    <definedName name="_xlnm._FilterDatabase" localSheetId="1" hidden="1">'บจก. เพนต้า'!$A$10:$K$10</definedName>
    <definedName name="_xlnm.Print_Titles" localSheetId="0">' บจก. เอ็มซี (ISUZU) (2)'!$1:$10</definedName>
    <definedName name="_xlnm.Print_Titles" localSheetId="2">'Total  (2)'!$1:$1</definedName>
    <definedName name="_xlnm.Print_Titles" localSheetId="1">'บจก. เพนต้า'!$1:$10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305" l="1"/>
  <c r="X15" i="305"/>
  <c r="X14" i="305"/>
  <c r="X13" i="305"/>
  <c r="X12" i="305"/>
  <c r="X11" i="305"/>
  <c r="O3" i="299" l="1"/>
  <c r="O4" i="299"/>
  <c r="O5" i="299"/>
  <c r="O6" i="299"/>
  <c r="O7" i="299"/>
  <c r="O8" i="299"/>
  <c r="O9" i="299"/>
  <c r="O10" i="299"/>
  <c r="O11" i="299"/>
  <c r="O12" i="299"/>
  <c r="O13" i="299"/>
  <c r="O14" i="299"/>
  <c r="O15" i="299"/>
  <c r="O16" i="299"/>
  <c r="O17" i="299"/>
  <c r="O18" i="299"/>
  <c r="O19" i="299"/>
  <c r="O20" i="299"/>
  <c r="O21" i="299"/>
  <c r="O22" i="299"/>
  <c r="O23" i="299"/>
  <c r="O24" i="299"/>
  <c r="O25" i="299"/>
  <c r="O26" i="299"/>
  <c r="O27" i="299"/>
  <c r="O28" i="299"/>
  <c r="O29" i="299"/>
  <c r="O30" i="299"/>
  <c r="O31" i="299"/>
  <c r="O32" i="299"/>
  <c r="O33" i="299"/>
  <c r="O34" i="299"/>
  <c r="O35" i="299"/>
  <c r="O36" i="299"/>
  <c r="O37" i="299"/>
  <c r="O38" i="299"/>
  <c r="O39" i="299"/>
  <c r="O40" i="299"/>
  <c r="O41" i="299"/>
  <c r="O42" i="299"/>
  <c r="O43" i="299"/>
  <c r="O44" i="299"/>
  <c r="O45" i="299"/>
  <c r="O46" i="299"/>
  <c r="O47" i="299"/>
  <c r="O48" i="299"/>
  <c r="O49" i="299"/>
  <c r="O50" i="299"/>
  <c r="O51" i="299"/>
  <c r="O52" i="299"/>
  <c r="O53" i="299"/>
  <c r="O54" i="299"/>
  <c r="O55" i="299"/>
  <c r="O56" i="299"/>
  <c r="O57" i="299"/>
  <c r="O58" i="299"/>
  <c r="O59" i="299"/>
  <c r="O60" i="299"/>
  <c r="O61" i="299"/>
  <c r="O62" i="299"/>
  <c r="O63" i="299"/>
  <c r="O64" i="299"/>
  <c r="O65" i="299"/>
  <c r="O66" i="299"/>
  <c r="O67" i="299"/>
  <c r="O68" i="299"/>
  <c r="O69" i="299"/>
  <c r="O70" i="299"/>
  <c r="O71" i="299"/>
  <c r="O72" i="299"/>
  <c r="O73" i="299"/>
  <c r="O74" i="299"/>
  <c r="O75" i="299"/>
  <c r="O76" i="299"/>
  <c r="O77" i="299"/>
  <c r="O78" i="299"/>
  <c r="O79" i="299"/>
  <c r="O80" i="299"/>
  <c r="O81" i="299"/>
  <c r="O82" i="299"/>
  <c r="O83" i="299"/>
  <c r="O84" i="299"/>
  <c r="O85" i="299"/>
  <c r="O86" i="299"/>
  <c r="O87" i="299"/>
  <c r="O88" i="299"/>
  <c r="O89" i="299"/>
  <c r="O90" i="299"/>
  <c r="O91" i="299"/>
  <c r="O92" i="299"/>
  <c r="O93" i="299"/>
  <c r="O94" i="299"/>
  <c r="O95" i="299"/>
  <c r="O96" i="299"/>
  <c r="O97" i="299"/>
  <c r="O98" i="299"/>
  <c r="O99" i="299"/>
  <c r="O100" i="299"/>
  <c r="O101" i="299"/>
  <c r="O102" i="299"/>
  <c r="O103" i="299"/>
  <c r="O104" i="299"/>
  <c r="O105" i="299"/>
  <c r="O106" i="299"/>
  <c r="O107" i="299"/>
  <c r="O108" i="299"/>
  <c r="O109" i="299"/>
  <c r="O110" i="299"/>
  <c r="O111" i="299"/>
  <c r="O112" i="299"/>
  <c r="O113" i="299"/>
  <c r="O114" i="299"/>
  <c r="O115" i="299"/>
  <c r="O116" i="299"/>
  <c r="O117" i="299"/>
  <c r="O118" i="299"/>
  <c r="O119" i="299"/>
  <c r="O120" i="299"/>
  <c r="O121" i="299"/>
  <c r="O122" i="299"/>
  <c r="O123" i="299"/>
  <c r="O124" i="299"/>
  <c r="O125" i="299"/>
  <c r="O126" i="299"/>
  <c r="O127" i="299"/>
  <c r="O128" i="299"/>
  <c r="O129" i="299"/>
  <c r="O130" i="299"/>
  <c r="O131" i="299"/>
  <c r="O132" i="299"/>
  <c r="O133" i="299"/>
  <c r="O134" i="299"/>
  <c r="O135" i="299"/>
  <c r="O136" i="299"/>
  <c r="O137" i="299"/>
  <c r="O138" i="299"/>
  <c r="O139" i="299"/>
  <c r="O140" i="299"/>
  <c r="O141" i="299"/>
  <c r="O142" i="299"/>
  <c r="O143" i="299"/>
  <c r="O144" i="299"/>
  <c r="O145" i="299"/>
  <c r="O146" i="299"/>
  <c r="O147" i="299"/>
  <c r="O148" i="299"/>
  <c r="O149" i="299"/>
  <c r="O150" i="299"/>
  <c r="O151" i="299"/>
  <c r="O152" i="299"/>
  <c r="O153" i="299"/>
  <c r="O154" i="299"/>
  <c r="O155" i="299"/>
  <c r="O156" i="299"/>
  <c r="O157" i="299"/>
  <c r="O158" i="299"/>
  <c r="O159" i="299"/>
  <c r="O160" i="299"/>
  <c r="O161" i="299"/>
  <c r="O162" i="299"/>
  <c r="O163" i="299"/>
  <c r="O164" i="299"/>
  <c r="O165" i="299"/>
  <c r="O166" i="299"/>
  <c r="O167" i="299"/>
  <c r="O168" i="299"/>
  <c r="O169" i="299"/>
  <c r="O170" i="299"/>
  <c r="O171" i="299"/>
  <c r="O172" i="299"/>
  <c r="O173" i="299"/>
  <c r="O174" i="299"/>
  <c r="O175" i="299"/>
  <c r="O176" i="299"/>
  <c r="O177" i="299"/>
  <c r="O178" i="299"/>
  <c r="O179" i="299"/>
  <c r="O180" i="299"/>
  <c r="O181" i="299"/>
  <c r="O182" i="299"/>
  <c r="O183" i="299"/>
  <c r="O184" i="299"/>
  <c r="O185" i="299"/>
  <c r="O186" i="299"/>
  <c r="O187" i="299"/>
  <c r="O188" i="299"/>
  <c r="O189" i="299"/>
  <c r="O190" i="299"/>
  <c r="O191" i="299"/>
  <c r="O192" i="299"/>
  <c r="O193" i="299"/>
  <c r="O194" i="299"/>
  <c r="O195" i="299"/>
  <c r="O196" i="299"/>
  <c r="O197" i="299"/>
  <c r="O198" i="299"/>
  <c r="O199" i="299"/>
  <c r="O200" i="299"/>
  <c r="O201" i="299"/>
  <c r="O202" i="299"/>
  <c r="O203" i="299"/>
  <c r="O204" i="299"/>
  <c r="O205" i="299"/>
  <c r="O206" i="299"/>
  <c r="O207" i="299"/>
  <c r="O208" i="299"/>
  <c r="O209" i="299"/>
  <c r="O210" i="299"/>
  <c r="O211" i="299"/>
  <c r="O212" i="299"/>
  <c r="O213" i="299"/>
  <c r="O214" i="299"/>
  <c r="O215" i="299"/>
  <c r="O216" i="299"/>
  <c r="O217" i="299"/>
  <c r="O218" i="299"/>
  <c r="O219" i="299"/>
  <c r="O220" i="299"/>
  <c r="O221" i="299"/>
  <c r="O222" i="299"/>
  <c r="O223" i="299"/>
  <c r="O224" i="299"/>
  <c r="O225" i="299"/>
  <c r="O226" i="299"/>
  <c r="O227" i="299"/>
  <c r="O228" i="299"/>
  <c r="O229" i="299"/>
  <c r="O230" i="299"/>
  <c r="O231" i="299"/>
  <c r="O232" i="299"/>
  <c r="O233" i="299"/>
  <c r="O234" i="299"/>
  <c r="O235" i="299"/>
  <c r="O236" i="299"/>
  <c r="O237" i="299"/>
  <c r="O238" i="299"/>
  <c r="O239" i="299"/>
  <c r="O240" i="299"/>
  <c r="O241" i="299"/>
  <c r="O242" i="299"/>
  <c r="O243" i="299"/>
  <c r="O244" i="299"/>
  <c r="O245" i="299"/>
  <c r="O246" i="299"/>
  <c r="O247" i="299"/>
  <c r="O248" i="299"/>
  <c r="O249" i="299"/>
  <c r="O250" i="299"/>
  <c r="O251" i="299"/>
  <c r="O252" i="299"/>
  <c r="O253" i="299"/>
  <c r="O254" i="299"/>
  <c r="O255" i="299"/>
  <c r="O256" i="299"/>
  <c r="O257" i="299"/>
  <c r="O258" i="299"/>
  <c r="O259" i="299"/>
  <c r="O260" i="299"/>
  <c r="O261" i="299"/>
  <c r="O262" i="299"/>
  <c r="O263" i="299"/>
  <c r="O264" i="299"/>
  <c r="O265" i="299"/>
  <c r="O266" i="299"/>
  <c r="O267" i="299"/>
  <c r="O268" i="299"/>
  <c r="O269" i="299"/>
  <c r="O270" i="299"/>
  <c r="O271" i="299"/>
  <c r="O272" i="299"/>
  <c r="O273" i="299"/>
  <c r="O274" i="299"/>
  <c r="O275" i="299"/>
  <c r="O276" i="299"/>
  <c r="O277" i="299"/>
  <c r="O278" i="299"/>
  <c r="O279" i="299"/>
  <c r="O280" i="299"/>
  <c r="O281" i="299"/>
  <c r="O282" i="299"/>
  <c r="O283" i="299"/>
  <c r="O284" i="299"/>
  <c r="O285" i="299"/>
  <c r="O286" i="299"/>
  <c r="O287" i="299"/>
  <c r="O288" i="299"/>
  <c r="O289" i="299"/>
  <c r="O290" i="299"/>
  <c r="O291" i="299"/>
  <c r="O292" i="299"/>
  <c r="O293" i="299"/>
  <c r="O294" i="299"/>
  <c r="O295" i="299"/>
  <c r="O296" i="299"/>
  <c r="O297" i="299"/>
  <c r="O298" i="299"/>
  <c r="O299" i="299"/>
  <c r="O300" i="299"/>
  <c r="O301" i="299"/>
  <c r="O302" i="299"/>
  <c r="O303" i="299"/>
  <c r="O304" i="299"/>
  <c r="O305" i="299"/>
  <c r="O306" i="299"/>
  <c r="O307" i="299"/>
  <c r="O308" i="299"/>
  <c r="O309" i="299"/>
  <c r="O310" i="299"/>
  <c r="O311" i="299"/>
  <c r="O312" i="299"/>
  <c r="O313" i="299"/>
  <c r="O314" i="299"/>
  <c r="O315" i="299"/>
  <c r="O316" i="299"/>
  <c r="O317" i="299"/>
  <c r="O318" i="299"/>
  <c r="O319" i="299"/>
  <c r="O320" i="299"/>
  <c r="O321" i="299"/>
  <c r="O322" i="299"/>
  <c r="O323" i="299"/>
  <c r="O324" i="299"/>
  <c r="O325" i="299"/>
  <c r="O326" i="299"/>
  <c r="O327" i="299"/>
  <c r="O328" i="299"/>
  <c r="O329" i="299"/>
  <c r="O330" i="299"/>
  <c r="O331" i="299"/>
  <c r="O332" i="299"/>
  <c r="O333" i="299"/>
  <c r="O334" i="299"/>
  <c r="O335" i="299"/>
  <c r="O336" i="299"/>
  <c r="O337" i="299"/>
  <c r="O338" i="299"/>
  <c r="O339" i="299"/>
  <c r="O2" i="299"/>
</calcChain>
</file>

<file path=xl/sharedStrings.xml><?xml version="1.0" encoding="utf-8"?>
<sst xmlns="http://schemas.openxmlformats.org/spreadsheetml/2006/main" count="3658" uniqueCount="523">
  <si>
    <t>Item</t>
  </si>
  <si>
    <t>Vendor Descriptn.</t>
  </si>
  <si>
    <t>Material</t>
  </si>
  <si>
    <t>Material Description</t>
  </si>
  <si>
    <t>Plant. 1410</t>
  </si>
  <si>
    <t>Model</t>
  </si>
  <si>
    <t>Remark</t>
  </si>
  <si>
    <t>Y</t>
  </si>
  <si>
    <t>N</t>
  </si>
  <si>
    <t xml:space="preserve">Issued </t>
  </si>
  <si>
    <t>Checked</t>
  </si>
  <si>
    <t>Approved</t>
  </si>
  <si>
    <t>Production Planning &amp; Control</t>
  </si>
  <si>
    <t>Confirmed By Vendor</t>
  </si>
  <si>
    <t xml:space="preserve">Version. </t>
  </si>
  <si>
    <t xml:space="preserve">                       บริษัท ไทยซัมมิท โกลด์ เพรส จำกัด</t>
  </si>
  <si>
    <t xml:space="preserve">                                   THAI SUMMIT GOLD PRESS CO.,LTD. </t>
  </si>
  <si>
    <t>( Staff )</t>
  </si>
  <si>
    <t>( Supervisor )</t>
  </si>
  <si>
    <t>( Manager )</t>
  </si>
  <si>
    <t>Unit</t>
  </si>
  <si>
    <t>Sloc.</t>
  </si>
  <si>
    <t>CC. Purchasing</t>
  </si>
  <si>
    <t>Mobile.</t>
  </si>
  <si>
    <t>กรณีที่ไม่มีการยืนยันการผลิตกลับจะถือว่าท่านผลิตได้ตาม Forecast ที่ทาง</t>
  </si>
  <si>
    <t>บริษัท ไทยซัมมิท โกลด์ เพรส จัดส่งมา*</t>
  </si>
  <si>
    <t>E-Mail</t>
  </si>
  <si>
    <t>*กรุณายืนยันการผลิตกลับภายในวันที่....../...../..... (5 วันหลังจากรับเอกสาร)</t>
  </si>
  <si>
    <t>Somdej.Pha@thaisummit.co.th</t>
  </si>
  <si>
    <t>Tel. 02-3258000  Ext. 439,517</t>
  </si>
  <si>
    <t>Fax. 02-3258016</t>
  </si>
  <si>
    <t xml:space="preserve">Mr.Somdej Phansoda  </t>
  </si>
  <si>
    <t>Mr.Suntorn Kerdtava</t>
  </si>
  <si>
    <t>R101</t>
  </si>
  <si>
    <t>-</t>
  </si>
  <si>
    <t>KG</t>
  </si>
  <si>
    <t>SHE</t>
  </si>
  <si>
    <t>SPFH 590 P/O 1.60 X 250 X 510</t>
  </si>
  <si>
    <t>SPFH590 P/O(RHA590 P/O) 1.60 X 52 X 1155</t>
  </si>
  <si>
    <t>SPFH 590 P/O(RHA590 P/O) 1.60X315X635</t>
  </si>
  <si>
    <t>SPFH 590 P/O(RHA590 P/O) 1.60X275X450</t>
  </si>
  <si>
    <t>SAPH 540 7.00 X 142 X 1219</t>
  </si>
  <si>
    <t>SPHC P/O 8.00 X 158.3 X 1219</t>
  </si>
  <si>
    <t>SPH440  8.0 X 218 X 1219</t>
  </si>
  <si>
    <t>SPCC 0.50 X 300 X 620</t>
  </si>
  <si>
    <t>SPCC 0.50 X 300 X 615</t>
  </si>
  <si>
    <t>SPCC 0.80 X 150 X 420</t>
  </si>
  <si>
    <t>SPCC 0.80 X 155 X 448</t>
  </si>
  <si>
    <t>SPCC 1.20 X 90 X 1219</t>
  </si>
  <si>
    <t>SPCC 1.20 X 315 X 1041</t>
  </si>
  <si>
    <t>SPCC 1.20 X 352 X 556</t>
  </si>
  <si>
    <t>SPCC 1.20 X 355 X 562</t>
  </si>
  <si>
    <t>SPCC 1.20 X 420 X 610</t>
  </si>
  <si>
    <t>SPHC P/O 1.60 X 106 X 1219</t>
  </si>
  <si>
    <t>SPHC P/O 2.00 X 135 X 460</t>
  </si>
  <si>
    <t>SPHC P/O 2.00 X 93 X 1219</t>
  </si>
  <si>
    <t>SPHC P/O 2.00 X 174 X 1219</t>
  </si>
  <si>
    <t>SPHC P/O 2.00 X 385 X 1219</t>
  </si>
  <si>
    <t>SPHC P/O 2.00 X 375 X 1219</t>
  </si>
  <si>
    <t>SPHC P/O 2.00 X 240 X 1219</t>
  </si>
  <si>
    <t>SPHC P/O 2.00 X 275 X 600</t>
  </si>
  <si>
    <t>SPHC P/O 2.30 X 135 X 1219</t>
  </si>
  <si>
    <t>SPHC P/O 2.30 X 222 X 1219</t>
  </si>
  <si>
    <t>SPHC P/O 2.60 X 168 X 1219</t>
  </si>
  <si>
    <t>SPHC P/O 2.60 X 282 X 1219</t>
  </si>
  <si>
    <t>SPHC P/O 3.20 X 105 X 1219</t>
  </si>
  <si>
    <t>SPHC P/O 4.00 X 92 X 1219</t>
  </si>
  <si>
    <t>SPHC P/O 6.00 X 310 X 1219</t>
  </si>
  <si>
    <t>SPHC P/O 6.00 X 235 X 1219</t>
  </si>
  <si>
    <t>SPHC P/O 6.00 X 80 X 1219</t>
  </si>
  <si>
    <t>SPHC P/O 6.00 X 145 X 1219</t>
  </si>
  <si>
    <t>SUS304-2B 1.20 X 90 X 1219*</t>
  </si>
  <si>
    <t>SUS409L 1.20 X 295.5 X 399</t>
  </si>
  <si>
    <t>SPCC 2.60 X 80 X 1219</t>
  </si>
  <si>
    <t>SUS436L 1.00 X 320 X 1041</t>
  </si>
  <si>
    <t>YUS436S 1.00 X 160 X 245</t>
  </si>
  <si>
    <t>SUS436L 1.50 X 130 X 245</t>
  </si>
  <si>
    <t>SPHC P/O 2.30 X 244 X 1219</t>
  </si>
  <si>
    <t>SPCC 0.5 X 140 X 380</t>
  </si>
  <si>
    <t>SPCC 0.8 X 105 X 390</t>
  </si>
  <si>
    <t>SUS304-2B 0.80 X 190 X 500</t>
  </si>
  <si>
    <t>SPHC P/O 2.0 X 295 X 425</t>
  </si>
  <si>
    <t>SPHC P/O 2.0 X 325 X 400</t>
  </si>
  <si>
    <t>SPHC P/O 2.00 X 290 X 615</t>
  </si>
  <si>
    <t>SPHC P/O 2.30 X 239 X 1139</t>
  </si>
  <si>
    <t>SUS409L 1.20 X 186 X 1219</t>
  </si>
  <si>
    <t>SUS409L 1.20 X 378 X 635</t>
  </si>
  <si>
    <t>SUS409L 1.00 X 370 X 590</t>
  </si>
  <si>
    <t>SPCC 0.80 X 60 X 1219</t>
  </si>
  <si>
    <t>SPCC 1.00 X 150 X 520</t>
  </si>
  <si>
    <t>SPCC 0.80 X 100 x 315</t>
  </si>
  <si>
    <t>SPCEN-SD 0.80 X 200 X 500</t>
  </si>
  <si>
    <t>SPHC-P/O  8.0 X 101 X 1219</t>
  </si>
  <si>
    <t>SPHC-P/O  3.2 X 180 X 1165</t>
  </si>
  <si>
    <t>SPHC-P/O  2.3 X 204 X 1219</t>
  </si>
  <si>
    <t>SPHC P/O 2.00 X 185 X 1219</t>
  </si>
  <si>
    <t>SUS409L 1.00 X 312 X 750</t>
  </si>
  <si>
    <t>SZCEY-0/20 0.80 X 135 X 1100</t>
  </si>
  <si>
    <t>SZCEY-0/20 0.80 X 150 X 1219</t>
  </si>
  <si>
    <t>YSH270C-P 2.60 X 330 X 1219</t>
  </si>
  <si>
    <t>SPCP1 3P/3P 1.20 X 265 X 1159</t>
  </si>
  <si>
    <t>SAPH 440-DS 5.00 X 190 X 1219</t>
  </si>
  <si>
    <t>SPCP1 3P/3P 1.20 X 265 X 1162</t>
  </si>
  <si>
    <t>SPFH 540 8.00 X 124 X 1219</t>
  </si>
  <si>
    <t>SS 400 8.00 X 124 X 1219</t>
  </si>
  <si>
    <t>SAPH440-DS 4.00 X 280 X 1219</t>
  </si>
  <si>
    <t>SAPH 440-DS 2.00 X 95 X 1190</t>
  </si>
  <si>
    <t>SAPH440-DS 4.00 X 94 X 1219</t>
  </si>
  <si>
    <t>SAPH440-DS 4.00 X 102 X 1219</t>
  </si>
  <si>
    <t>SPCP1 - 3P/3P 1.60 X 205 X 1170</t>
  </si>
  <si>
    <t>SPHM2-60/60 2.00 X 485 X 485</t>
  </si>
  <si>
    <t>SAPH440-DS 4.00 X 214 X 1219</t>
  </si>
  <si>
    <t>SAPH440-DS 5.00 X 132 X 1219</t>
  </si>
  <si>
    <t>SPHM1-55/55 2.00 X 78 X 1219</t>
  </si>
  <si>
    <t>SPHM1-55/55 2.0 X 86 X 1219</t>
  </si>
  <si>
    <t>SPHC P/O 1.20 X 60 X 1219</t>
  </si>
  <si>
    <t>SPHC-DS 1.60 X 110 X 110</t>
  </si>
  <si>
    <t>SPHC P/O 1.60 X 180 X 1219</t>
  </si>
  <si>
    <t>SPHC P/O 1.60 X 35 X 1219</t>
  </si>
  <si>
    <t>SPHC P/O 2.60 X 65 X 1219</t>
  </si>
  <si>
    <t>SPHC P/O 2.60 X 220 X 1219</t>
  </si>
  <si>
    <t>SPHC-DS 2.60 X 259 X 1219</t>
  </si>
  <si>
    <t>SPHC-DS 2.60 X 35 X 1219</t>
  </si>
  <si>
    <t>SPHC-DS 2.60 X 95 X 1219</t>
  </si>
  <si>
    <t>SPHC-DS 3.20 X 174 X 1110</t>
  </si>
  <si>
    <t>SPHC-DS 3.20 X 189 X 1219</t>
  </si>
  <si>
    <t>SPHC-DS 3.20 X 230 X 1219</t>
  </si>
  <si>
    <t>SPHC-DS 3.20 X 152 X 1219</t>
  </si>
  <si>
    <t>SPHC-DS 3.20 X 169 X 1219</t>
  </si>
  <si>
    <t>SPHC P/O 4.00 X 470 X 1219</t>
  </si>
  <si>
    <t>SPHC P/O 4.00 X 415 X 1219</t>
  </si>
  <si>
    <t>SPHC P/O 4.00 X 125 X 1219</t>
  </si>
  <si>
    <t>SPHC P/O 4.50 X 247 X 1219</t>
  </si>
  <si>
    <t>SPHC P/O 6.00 X 294 X 1219</t>
  </si>
  <si>
    <t>SPHC-DS 1.60 X 134 X 1219</t>
  </si>
  <si>
    <t>SAPH 440 P/O 4.50 X 100 X 1219</t>
  </si>
  <si>
    <t>SAPH 440 2.0 X 255 X 545</t>
  </si>
  <si>
    <t>SPHC 3.20 X 81 X 1219</t>
  </si>
  <si>
    <t>SPHC P/O 6.00 X 32 X 364</t>
  </si>
  <si>
    <t>SS400 6.00 X 100 X 420</t>
  </si>
  <si>
    <t>SPHC P/O 4.50 X 62 X 1300</t>
  </si>
  <si>
    <t>SS400 6.00 X 75 X 635</t>
  </si>
  <si>
    <t>SAPH440-DS 4.00 X 128 X 1219</t>
  </si>
  <si>
    <t>SAPH440-DS 4.00 X 215 X 1219</t>
  </si>
  <si>
    <t>SAPH440-DS 4.00 X 290 X 1219</t>
  </si>
  <si>
    <t>SAPH440-DS 2.00 X 200 X 325</t>
  </si>
  <si>
    <t xml:space="preserve">SS400  6.0 X 109 X 530  </t>
  </si>
  <si>
    <t>SS400  6.0 X 118 X 423</t>
  </si>
  <si>
    <t>SPHC-P/O  6.0 X 32 X 363</t>
  </si>
  <si>
    <t xml:space="preserve">SPHC-P/O  6.0 X 32 X 357 </t>
  </si>
  <si>
    <t xml:space="preserve">SAPH440  2.0 X 255 X 590  </t>
  </si>
  <si>
    <t>SAPH440-DS 2.00 X 263 X 1219</t>
  </si>
  <si>
    <t>SPCEN 2.30 X 290 X COIL</t>
  </si>
  <si>
    <t>SPCC 0.50 X 174 X 1219</t>
  </si>
  <si>
    <t>SPCC 0.60 X 260 X 565</t>
  </si>
  <si>
    <t>SPCC 0.60 X 285 X 565</t>
  </si>
  <si>
    <t>SPCC 0.60 X 300 X 565</t>
  </si>
  <si>
    <t>SPCC 0.60 X 300 X 580</t>
  </si>
  <si>
    <t>SPCC 0.60 X 295 X 605</t>
  </si>
  <si>
    <t xml:space="preserve">SPCC 0.60 X 305 X 605 </t>
  </si>
  <si>
    <t>SPCC 0.80 X 155 X 605</t>
  </si>
  <si>
    <t>SPCC 0.80 X 105 X 360</t>
  </si>
  <si>
    <t>SPCC 1.20 X 100 X 1219</t>
  </si>
  <si>
    <t>SPCC 1.20 X 195 X 1219</t>
  </si>
  <si>
    <t>SPCC 1.20 X 60 X 1219</t>
  </si>
  <si>
    <t>SPCC 1.60 X 74 X 1219</t>
  </si>
  <si>
    <t>SPCC 1.60 X 900 X 1050</t>
  </si>
  <si>
    <t>SPCC 2.00 X 470 X 1060</t>
  </si>
  <si>
    <t>SPCC 2.00 X 200 X 325</t>
  </si>
  <si>
    <t>SPCC 2.00 X 70 X 1219</t>
  </si>
  <si>
    <t>SPCC 2.00 X 290 X 1219</t>
  </si>
  <si>
    <t>SPCC 2.00 X 309 X 1219</t>
  </si>
  <si>
    <t>SPCC 2.00 X 365 X 1080</t>
  </si>
  <si>
    <t>SPCC 2.30 X 65 X 1219</t>
  </si>
  <si>
    <t>SPCC 2.60 X 365 X 1219</t>
  </si>
  <si>
    <t>SPCC 2.60 X 60 X 1219</t>
  </si>
  <si>
    <t>SPCC 2.60 X 255 X 400</t>
  </si>
  <si>
    <t>SPCC 2.60 X 330 X 1219</t>
  </si>
  <si>
    <t>SPCC 3.00 X 124 X 1219</t>
  </si>
  <si>
    <t>SPCC 3.00 X 90 X 1219</t>
  </si>
  <si>
    <t>SPCEN-SD 0.90 X 530 X 900</t>
  </si>
  <si>
    <t>SPCEN-SD 0.90 X 595 X 915</t>
  </si>
  <si>
    <t>SPCEN-SD 0.90 X 360 X 550</t>
  </si>
  <si>
    <t>SPCEN-SD 0.90 X 600 X 800 ( EL 49 %)</t>
  </si>
  <si>
    <t>SPCEN-SD 0.90 X 750 X 1150</t>
  </si>
  <si>
    <t>SPCEN-SD 0.90 X 530 X 700</t>
  </si>
  <si>
    <t>SPCEN-SD 0.90 X 150 X 1219</t>
  </si>
  <si>
    <t>SPCEN 1.00 X 460 X 910</t>
  </si>
  <si>
    <t>SPCEN 1.00 X 630 X 925</t>
  </si>
  <si>
    <t>SPCEN-SD 1.00 X 205 X 480</t>
  </si>
  <si>
    <t>SPCEN-SD 1.00 X 720 X 1120</t>
  </si>
  <si>
    <t>SPCEN 1.60 X 215 X 555</t>
  </si>
  <si>
    <t>SPCEN-SB 1.60 X 140 X 1219</t>
  </si>
  <si>
    <t>SPCEN 1.60 X 220 X 1219</t>
  </si>
  <si>
    <t>SPCEN 1.60 X 440 X 440</t>
  </si>
  <si>
    <t>SPHC-DS 1.60 X 78 X 1219</t>
  </si>
  <si>
    <t>SPHC-DS 2.00 X 67 X 1219</t>
  </si>
  <si>
    <t>SPHC-DS 2.00 X 275 X 1219</t>
  </si>
  <si>
    <t>SPHC P/O 2.00 X 145 X 1219</t>
  </si>
  <si>
    <t>SPHC-DS 2.00 X 73 X 1219</t>
  </si>
  <si>
    <t>SPHC P/O 2.60 X 31 X 1219</t>
  </si>
  <si>
    <t>SPHC P/O 2.60 X 120 X 1219</t>
  </si>
  <si>
    <t>SPHC-DS 2.60 X 120 X 1160</t>
  </si>
  <si>
    <t>SPHC-DS 2.60 X 270 X 1219</t>
  </si>
  <si>
    <t>SPHC-DS 2.90 X 182 X 1219</t>
  </si>
  <si>
    <t>SPHC-DS 3.20 X 38 X 1219</t>
  </si>
  <si>
    <t>SPHC P/O 6.00 X 190 X 1219</t>
  </si>
  <si>
    <t>SPHC P/O 6.00 X 225 X 1219</t>
  </si>
  <si>
    <t>SPHC P/O 6.00 X 280 X 1219</t>
  </si>
  <si>
    <t>SPHC P/O 6.00 X 168 X 1219</t>
  </si>
  <si>
    <t>SPCC-SD 0.6 X 305 X 600</t>
  </si>
  <si>
    <t>SPCEN-SD 0.9 X 600 X 980</t>
  </si>
  <si>
    <t>SPCC 2.00 X 295 X 1219</t>
  </si>
  <si>
    <t>SPCC 0.80 X 320 X 530</t>
  </si>
  <si>
    <t>SPCEN-SD  0.90 X 700 X 865</t>
  </si>
  <si>
    <t>SPCC  0.5 X 310 X 600</t>
  </si>
  <si>
    <t>SPCC  0.5 X 310 X 590</t>
  </si>
  <si>
    <t>SPCC 1.00 X 90 X 1219</t>
  </si>
  <si>
    <t>JNC270F-17/17  1.0 X 120 X 1219</t>
  </si>
  <si>
    <t>JNC270F-17/17  1.0 X 94 X 1219</t>
  </si>
  <si>
    <t>SPCEN-SD 0.90 X 610 X 685</t>
  </si>
  <si>
    <t>SPCEN-SD 0.90 X 930 X 950</t>
  </si>
  <si>
    <t>JNC270F-17/17 1.60 X 125 X 1219</t>
  </si>
  <si>
    <t>SPCEN-SD 0.90 X 605 X 920</t>
  </si>
  <si>
    <t>SPCEN-SD 0.90 X 710 X 880</t>
  </si>
  <si>
    <t>SPCC 1.20 X 250 X 360</t>
  </si>
  <si>
    <t>SAPH440 P/O 6.00 X 163 X 1219</t>
  </si>
  <si>
    <t>SAPH440 P/O 6.00 X 119 X 1219</t>
  </si>
  <si>
    <t>JSH270C 4.50 X 274 X 1219</t>
  </si>
  <si>
    <t>JSH270C-P  4.5 X 308 X 1219</t>
  </si>
  <si>
    <t>JSH270C-P  1.6 X 415 X 1219</t>
  </si>
  <si>
    <t>SAPH440-P  2.0 X 420 X1219</t>
  </si>
  <si>
    <t>JSH270C  4.5 X 275 X 1219</t>
  </si>
  <si>
    <t>SPCEN-SD 0.90 X 695 X 980</t>
  </si>
  <si>
    <t>SPCEN-SD 0.90 X 830 X 995</t>
  </si>
  <si>
    <t xml:space="preserve">SPCEN-SD 0.90 X 500 X 670 </t>
  </si>
  <si>
    <t xml:space="preserve">SPCEN-SD  1.0 X 630 X 850 </t>
  </si>
  <si>
    <t>SPCC 3.20 X 85 X 1219</t>
  </si>
  <si>
    <t>JSH270C  2.9 X 85 X 1219</t>
  </si>
  <si>
    <t>SPHC P/O 2.30 X 510 X 390</t>
  </si>
  <si>
    <t xml:space="preserve">SPHC-P/O  4.5 X 62 X 1355 </t>
  </si>
  <si>
    <t>NSSC FHZ 2.0 X 235 X 1219</t>
  </si>
  <si>
    <t>NSSC409L BT-P 1.00 X 345 X 460</t>
  </si>
  <si>
    <t>JAH440W 35/35 2.30 X 210 X 360</t>
  </si>
  <si>
    <t>JSC270C 0.60 X 1110 X 155</t>
  </si>
  <si>
    <t>JSC270C 0.60 X 1130 X 205</t>
  </si>
  <si>
    <t>JSC270C 0.70 X 260 X 1030</t>
  </si>
  <si>
    <t>JSC270C 0.80 X 135 X 940</t>
  </si>
  <si>
    <t>JAC270F 35/35 1.60 X 290 X 730</t>
  </si>
  <si>
    <t>SPC1 1.00 X 190 X 1165</t>
  </si>
  <si>
    <t>SPC1M-45/45 1.20 X 169 X 1219</t>
  </si>
  <si>
    <t>SPC1M-45/45 1.20 X 240 X 1219</t>
  </si>
  <si>
    <t>SPHC-DS 2.00 X 185 X 1219</t>
  </si>
  <si>
    <t>SPC1 1.00 X 185 X 1219</t>
  </si>
  <si>
    <t>SPHC-DS 2.9 X 180 X 1219</t>
  </si>
  <si>
    <t>SPHC- DS 3.2 X 115 X 1219</t>
  </si>
  <si>
    <t>SPHC-DS 2.0 X 86 X 1219</t>
  </si>
  <si>
    <t>SPHC-DS 1.6 X 210 X 258</t>
  </si>
  <si>
    <t>SPHC-DS 2.60 X 153 X 1219</t>
  </si>
  <si>
    <t>SPHC-DS 2.60 X 107 X 1219</t>
  </si>
  <si>
    <t>SPHC-DS 2.60 X 345 X 1219</t>
  </si>
  <si>
    <t>SPHC-DS 2.60 X 415 X 1219</t>
  </si>
  <si>
    <t>SPC1 1.20 X 101 X 1219</t>
  </si>
  <si>
    <t>SPCN3 1.50 X 241 X 1219</t>
  </si>
  <si>
    <t>SPCC 0.60 X 305 X 605</t>
  </si>
  <si>
    <t>Material &amp; Purchaseing Parts Forecast Monthly</t>
  </si>
  <si>
    <t>บจก. เซ็นทรัล เมทัลส์ (ประเทศไทย)</t>
  </si>
  <si>
    <t>EZNKTU-X 2-20.0 1.0X390X470</t>
  </si>
  <si>
    <t>EZNKTU-X 2-20.0 1.0X350X420</t>
  </si>
  <si>
    <t>บจก. เจเอฟอี โชจิ เทรด(ประเทศไทย)</t>
  </si>
  <si>
    <t xml:space="preserve"> บจก. ตะวันออกรุ่งเรือง</t>
  </si>
  <si>
    <t>บจก. โตโยต้า ทูโช (ไทยแลนด์)</t>
  </si>
  <si>
    <t>บจก. ซูมิโช เมทัล (ประเทศไทย)</t>
  </si>
  <si>
    <t>บจก. บี.เอ็ม.สตีลเซ็นเตอร์</t>
  </si>
  <si>
    <t>บจก. พรีเมี่ยมสตีล โพรเซสซิ่ง</t>
  </si>
  <si>
    <t>บจก. ยูไนเต็ดคอยล์เซ็นเตอร์</t>
  </si>
  <si>
    <t>บจก. เอ็มซี เมทัลเซอร์วิสเอเชีย(ประเทศไทย)</t>
  </si>
  <si>
    <t>บมจ. ศูนย์บริการเหล็กสยาม</t>
  </si>
  <si>
    <t>บจก. สตีล อัลลายแอนซ์</t>
  </si>
  <si>
    <t>H60A</t>
  </si>
  <si>
    <t>54S1</t>
  </si>
  <si>
    <t>33S1</t>
  </si>
  <si>
    <t>KWWM</t>
  </si>
  <si>
    <t>JSH590R 2.00 X 106 X 1219</t>
  </si>
  <si>
    <t>SPCEN-SD 1.2x560x1170(KB)</t>
  </si>
  <si>
    <t>KPWA</t>
  </si>
  <si>
    <t>LX250S</t>
  </si>
  <si>
    <t>LX150A,B</t>
  </si>
  <si>
    <t>775A</t>
  </si>
  <si>
    <t>KETA</t>
  </si>
  <si>
    <t>XB3</t>
  </si>
  <si>
    <t>5TN1</t>
  </si>
  <si>
    <t>1P7</t>
  </si>
  <si>
    <t>4S31</t>
  </si>
  <si>
    <t>5YP1</t>
  </si>
  <si>
    <t>2S51</t>
  </si>
  <si>
    <t>50P1</t>
  </si>
  <si>
    <t>5P01</t>
  </si>
  <si>
    <t>5MY1</t>
  </si>
  <si>
    <t>5VV1</t>
  </si>
  <si>
    <t>5HV1</t>
  </si>
  <si>
    <t>SPCC-SD 0.60 X 285 X 580</t>
  </si>
  <si>
    <t>SPCEN 0.80 X 155 X 448</t>
  </si>
  <si>
    <t>DE</t>
  </si>
  <si>
    <t>DB</t>
  </si>
  <si>
    <t>SS400 7.0x98x1219</t>
  </si>
  <si>
    <t>JNC270F-17/S 0.80 X 135 X 1100</t>
  </si>
  <si>
    <t>JNC270F-17/S 0.80 X 150 X 1219</t>
  </si>
  <si>
    <t>SP781BQ 1.00 X 230 X 1340</t>
  </si>
  <si>
    <t>SPHC-P 2.3 X 380 X 490</t>
  </si>
  <si>
    <t>SPCEN-SD 0.9 X 240 X 650</t>
  </si>
  <si>
    <t xml:space="preserve">SPHC  6.0 X 195 X 1219 </t>
  </si>
  <si>
    <t>SPCEN-SD 1.0 X 350 X 1090 (S)</t>
  </si>
  <si>
    <t xml:space="preserve">SPCC  1.4 X 200 X 520 </t>
  </si>
  <si>
    <t xml:space="preserve">SPCC  1.4 X 200 X 500 </t>
  </si>
  <si>
    <t>SS400 10.0 X 120 X 1219 (KB)</t>
  </si>
  <si>
    <t>YSC270C  0.5 X 300 X 610</t>
  </si>
  <si>
    <t>YSC270C  0.5 X 340 X 620</t>
  </si>
  <si>
    <t>SPCEN-SD 0.9 X 250 X 650   </t>
  </si>
  <si>
    <t>SPCC 1.4 X 476 X 290 (S)                </t>
  </si>
  <si>
    <t>SPCEN-SD 1.6 X 258 X 1110 (S)      </t>
  </si>
  <si>
    <t>SAPH440 2.0 X 170 X 1219 (S)          </t>
  </si>
  <si>
    <t>SS400  9.0 X 200 X 207 (S)</t>
  </si>
  <si>
    <t>SPCC 1.60 X 500 X 800 (S)</t>
  </si>
  <si>
    <t>No Vendor</t>
  </si>
  <si>
    <t>D35-IND</t>
  </si>
  <si>
    <t xml:space="preserve">SPHC P/O 2.3 X 495 X 1130 </t>
  </si>
  <si>
    <t xml:space="preserve">SPHC-P/O  1.6 X 345 X 425 </t>
  </si>
  <si>
    <t>JNC270F-17/S 0.80 X 390 X 335</t>
  </si>
  <si>
    <t>JNC270F-17/S 0.80 X 405 X 345</t>
  </si>
  <si>
    <t>JNC270F-17/S 0.80 X 390 X 275</t>
  </si>
  <si>
    <t>JNC270F-17/S 0.80 X 420 X 340</t>
  </si>
  <si>
    <t xml:space="preserve">SPCEN  0.8 X 380 X 380  (S) </t>
  </si>
  <si>
    <t xml:space="preserve">SPCEN  0.8 X 360 X 385  (S) </t>
  </si>
  <si>
    <t>SPCEN 0.80 X 370 X 400</t>
  </si>
  <si>
    <t>SPCEN 0.80 X 390 X 420</t>
  </si>
  <si>
    <t>SPCEN 0.80 X 360 X 360</t>
  </si>
  <si>
    <t>SPCEN 0.80 X 375 X 390</t>
  </si>
  <si>
    <t>SPCEN 1.00 X 320 X 360</t>
  </si>
  <si>
    <t>SPCEN 1.00 X 300 X 400</t>
  </si>
  <si>
    <t>SPCEN 1.00 X 320 X 415</t>
  </si>
  <si>
    <t>SPCEN 0.80 X 400 X 420</t>
  </si>
  <si>
    <t>SPCEN 0.80 X 380 x 400</t>
  </si>
  <si>
    <t>SPCEN  1.0 X 330 X 430 (S)</t>
  </si>
  <si>
    <t>SZCEY T0 20/0 1.00 X 320 X 420</t>
  </si>
  <si>
    <t>SZCEY T0 20/0 1.00 X 300 X 400</t>
  </si>
  <si>
    <t>1PN</t>
  </si>
  <si>
    <t>2CM</t>
  </si>
  <si>
    <t>5D61,2S51</t>
  </si>
  <si>
    <t>52B1</t>
  </si>
  <si>
    <t>2BL</t>
  </si>
  <si>
    <t>BB9</t>
  </si>
  <si>
    <t>B48</t>
  </si>
  <si>
    <t>BB8</t>
  </si>
  <si>
    <t xml:space="preserve"> 1FPG </t>
  </si>
  <si>
    <t>BF6</t>
  </si>
  <si>
    <t>1P71</t>
  </si>
  <si>
    <t>4D01,5VV,5YP</t>
  </si>
  <si>
    <t>5LN1</t>
  </si>
  <si>
    <t>5XV</t>
  </si>
  <si>
    <t>TF75/85 ML</t>
  </si>
  <si>
    <t>ET70/80</t>
  </si>
  <si>
    <t>ET95/110</t>
  </si>
  <si>
    <t>C20XB</t>
  </si>
  <si>
    <t>TF105/115</t>
  </si>
  <si>
    <t>LIGHT COVER</t>
  </si>
  <si>
    <t>RT100/125</t>
  </si>
  <si>
    <t>SPCEN 1.0 X 390 X 480</t>
  </si>
  <si>
    <t>SPCD 1.00 X 521 X 533</t>
  </si>
  <si>
    <t>SPCD 1.00 X 390 X 420</t>
  </si>
  <si>
    <t xml:space="preserve">SPCD 1.00 X 381 X 406 </t>
  </si>
  <si>
    <t>SPCD 1.00 X 407 X 407</t>
  </si>
  <si>
    <t xml:space="preserve">SPCD 1.00 X 457 X 470 </t>
  </si>
  <si>
    <t xml:space="preserve">SPCEN 0.90 X 445 X 560 </t>
  </si>
  <si>
    <t>SPCEN 1.00 X 470 X 470</t>
  </si>
  <si>
    <t>SPCEN 1.00 X 550 X 560</t>
  </si>
  <si>
    <t xml:space="preserve">SPCEN-SD 1.00 X 405 X 715 </t>
  </si>
  <si>
    <t>SPCEN 1.20 X 465 X 580</t>
  </si>
  <si>
    <t>SPCEN 1.00 X 520 X 530</t>
  </si>
  <si>
    <t xml:space="preserve">SPCEN 1.00 X 380 X 420 </t>
  </si>
  <si>
    <t xml:space="preserve">SUS304-BA (เคลือบ PVC) 1.00 x 220 x 490 </t>
  </si>
  <si>
    <t xml:space="preserve">SUS304-BA (เคลือบ PVC) 1.00 x 190 x 255 </t>
  </si>
  <si>
    <t xml:space="preserve">SUS304-2B 3.00 X 85 X 1219  </t>
  </si>
  <si>
    <t>SUS304-2B 2.5 X 90 X 1219</t>
  </si>
  <si>
    <t>100728  บมจ. โลหะกิจเม็ททอล</t>
  </si>
  <si>
    <t>NC270F-17/S  0.8 X 360 x 335 (S)</t>
  </si>
  <si>
    <t>JNC270F-17/S  0.8 X 375 x 350 (S)</t>
  </si>
  <si>
    <t>SS400 6.0x173x440 (S)</t>
  </si>
  <si>
    <t>SS400 6.0x173x529 (S)</t>
  </si>
  <si>
    <t>SPHC 4.5x560x608 (S)</t>
  </si>
  <si>
    <t>BM9</t>
  </si>
  <si>
    <t>JNC270F-17/S  0.8 X 425 X 380</t>
  </si>
  <si>
    <t>JNC270F-17/S  0.8 X 345 X 390</t>
  </si>
  <si>
    <t>JNC270F-17/S  0.8 X 350 X 350</t>
  </si>
  <si>
    <t>JNC270F-17/S  0.8 X 350 X 360</t>
  </si>
  <si>
    <t>JNC270F-17/S  0.8 X 370 X 460</t>
  </si>
  <si>
    <t>JNC270F-17/S  0.8 X 375 X 440</t>
  </si>
  <si>
    <t>JNC270F-17/S 0.80 X 375 X 395</t>
  </si>
  <si>
    <t>JNC270F-17/S 1.20 X 305 X 350</t>
  </si>
  <si>
    <t>JNC270F-17/S  0.8 X 320 X 330</t>
  </si>
  <si>
    <t>JNC270F-17/S  0.8 X 320 X 340</t>
  </si>
  <si>
    <t>JNC270F-17/S  0.8 X 460 X 280</t>
  </si>
  <si>
    <t>JNC270F-17/S  0.8 X 470 X 280</t>
  </si>
  <si>
    <t>JNC270F-17/S  0.8 X 330 X 350</t>
  </si>
  <si>
    <t>JNC270F-17/S  0.8 X 365 X 370</t>
  </si>
  <si>
    <t>JNC270F-17/S 0.80 x 440 x 460</t>
  </si>
  <si>
    <t>JNC270F-17/S 0.80 x 440 x 470</t>
  </si>
  <si>
    <t>JNC270F-17/S 0.8 X 380 X 470 (S)</t>
  </si>
  <si>
    <t>SPCC 1.20 X 384 X 345</t>
  </si>
  <si>
    <t>SPCC 1.20 X 310 X 385</t>
  </si>
  <si>
    <t>SPCEN 1.00 X 420 X 420</t>
  </si>
  <si>
    <t>SPCEN 1.00 X 510 X 525</t>
  </si>
  <si>
    <t>10.2017</t>
  </si>
  <si>
    <t>RT77-90</t>
  </si>
  <si>
    <t>TF75/85ML</t>
  </si>
  <si>
    <t>TF105/115MH</t>
  </si>
  <si>
    <t>11.2017</t>
  </si>
  <si>
    <t>SS400 6.00 X 420 X 609.5</t>
  </si>
  <si>
    <t>12.2017</t>
  </si>
  <si>
    <t>01.2018</t>
  </si>
  <si>
    <r>
      <t xml:space="preserve">SPCC 1.60 X 160 X 1219  </t>
    </r>
    <r>
      <rPr>
        <sz val="9"/>
        <color theme="0"/>
        <rFont val="Tahoma"/>
        <family val="2"/>
      </rPr>
      <t>1:29</t>
    </r>
  </si>
  <si>
    <r>
      <t xml:space="preserve">SPHC P/O 2.30 X 203 X 1219   </t>
    </r>
    <r>
      <rPr>
        <sz val="9"/>
        <color theme="0"/>
        <rFont val="Tahoma"/>
        <family val="2"/>
      </rPr>
      <t>1:27</t>
    </r>
  </si>
  <si>
    <r>
      <t xml:space="preserve">SPCC 1.60 X 146 X 1219     </t>
    </r>
    <r>
      <rPr>
        <sz val="9"/>
        <color theme="0"/>
        <rFont val="Tahoma"/>
        <family val="2"/>
      </rPr>
      <t>1 : 22</t>
    </r>
  </si>
  <si>
    <r>
      <t xml:space="preserve">SPHC-P/O  2.6 X 124 X 1219    </t>
    </r>
    <r>
      <rPr>
        <sz val="9"/>
        <color theme="0"/>
        <rFont val="Tahoma"/>
        <family val="2"/>
      </rPr>
      <t>1:15</t>
    </r>
  </si>
  <si>
    <r>
      <t xml:space="preserve">SPHC-P/O  3.2 X 132 X 1219   </t>
    </r>
    <r>
      <rPr>
        <sz val="9"/>
        <color theme="0"/>
        <rFont val="Tahoma"/>
        <family val="2"/>
      </rPr>
      <t>1 : 9</t>
    </r>
  </si>
  <si>
    <r>
      <t xml:space="preserve">JSH490W  2.3 X 48 X 1219   </t>
    </r>
    <r>
      <rPr>
        <sz val="9"/>
        <color theme="0"/>
        <rFont val="Tahoma"/>
        <family val="2"/>
      </rPr>
      <t>1:32</t>
    </r>
  </si>
  <si>
    <r>
      <t xml:space="preserve">YNC270F-0/17  1.0 X 1186 X 120  </t>
    </r>
    <r>
      <rPr>
        <sz val="9"/>
        <color theme="0"/>
        <rFont val="Tahoma"/>
        <family val="2"/>
      </rPr>
      <t xml:space="preserve"> 1:10</t>
    </r>
  </si>
  <si>
    <r>
      <t xml:space="preserve">YNC270F-0/17  1.0 X 1186 X 140   </t>
    </r>
    <r>
      <rPr>
        <sz val="9"/>
        <color theme="0"/>
        <rFont val="Calibri"/>
        <family val="2"/>
        <scheme val="minor"/>
      </rPr>
      <t>1:8</t>
    </r>
  </si>
  <si>
    <r>
      <t xml:space="preserve">JSH590R 3.2 X 60 X 1190  </t>
    </r>
    <r>
      <rPr>
        <sz val="9"/>
        <color theme="0"/>
        <rFont val="Tahoma"/>
        <family val="2"/>
      </rPr>
      <t>1: 90</t>
    </r>
  </si>
  <si>
    <r>
      <t xml:space="preserve">JSH590R 4.00 X 129 X 1219  </t>
    </r>
    <r>
      <rPr>
        <sz val="9"/>
        <color theme="0"/>
        <rFont val="Tahoma"/>
        <family val="2"/>
      </rPr>
      <t>1:17</t>
    </r>
  </si>
  <si>
    <r>
      <t xml:space="preserve">JSH590R-P 2.60 X 107 X 1219 </t>
    </r>
    <r>
      <rPr>
        <sz val="9"/>
        <color theme="0"/>
        <rFont val="Tahoma"/>
        <family val="2"/>
      </rPr>
      <t>1:19</t>
    </r>
  </si>
  <si>
    <t>02.2018</t>
  </si>
  <si>
    <t>03.2018</t>
  </si>
  <si>
    <t>SPCEN 1.20 X 600 X 950 (S)</t>
  </si>
  <si>
    <t xml:space="preserve">Ms.Anongluk Rugying </t>
  </si>
  <si>
    <t>06-38148537</t>
  </si>
  <si>
    <t>บจก. เพนต้า ทิก อินดัสทรีส์</t>
  </si>
  <si>
    <t>08.2019</t>
  </si>
  <si>
    <t>Mr.Siratan  Oparttnawat</t>
  </si>
  <si>
    <t>09.2019</t>
  </si>
  <si>
    <t>10.2019</t>
  </si>
  <si>
    <t>11.2019</t>
  </si>
  <si>
    <t>12.2019</t>
  </si>
  <si>
    <t>JSC440W 2.00 X 271 X COIL</t>
  </si>
  <si>
    <t>JSH440W-P 3.20 x 211 x COIL</t>
  </si>
  <si>
    <t>SS400 10.0 x 165 x 1219</t>
  </si>
  <si>
    <t>SS400P 9.0 x 185 x 1219</t>
  </si>
  <si>
    <t>RG01</t>
  </si>
  <si>
    <t>JSC270C 1.20 X 213 X COIL</t>
  </si>
  <si>
    <t>01.2020</t>
  </si>
  <si>
    <t>JAC270C-45/45 1.60 X 220 X COIL</t>
  </si>
  <si>
    <t>Forecsat Monthly  Aug  2019 -Jan  2020</t>
  </si>
  <si>
    <t xml:space="preserve">Part name </t>
  </si>
  <si>
    <t>Part no</t>
  </si>
  <si>
    <t>SS400P 4.00 X 92 X COIL</t>
  </si>
  <si>
    <t>PATCH LH</t>
  </si>
  <si>
    <t>8983948010-03</t>
  </si>
  <si>
    <t xml:space="preserve">8983948000-03 </t>
  </si>
  <si>
    <t xml:space="preserve">PATCH RH </t>
  </si>
  <si>
    <t xml:space="preserve">BRKT SUPPORT NO.1 </t>
  </si>
  <si>
    <t>8983937790-01-01</t>
  </si>
  <si>
    <t>BRKT SUPPORTNO2</t>
  </si>
  <si>
    <t>BRACKET F/FLR CNSL FRT</t>
  </si>
  <si>
    <t>SHACKLE SPRING, SUSP(4X4)</t>
  </si>
  <si>
    <t>898394804A</t>
  </si>
  <si>
    <t>PLATE</t>
  </si>
  <si>
    <t>8983908060-03</t>
  </si>
  <si>
    <t>RETAINER BATTERY HOLDN</t>
  </si>
  <si>
    <t>BRACKET EXH PRESS SENSOR PIPE(RG01)</t>
  </si>
  <si>
    <t>8975134640-01</t>
  </si>
  <si>
    <t>BRKT PUBX, END GATE HING RH(RG01)</t>
  </si>
  <si>
    <t>BRKT PUBX, END GATE HING LH(RG01)</t>
  </si>
  <si>
    <t>JSC270C 1.60 x 253 x COIL</t>
  </si>
  <si>
    <t>2019.07.25.02</t>
  </si>
  <si>
    <t>JSC270C_0.6 X 305 X 610</t>
  </si>
  <si>
    <t>SAPH440  1.6 X 319 X 715_(Model LG1)</t>
  </si>
  <si>
    <t>SAPH440  1.6 X 252 X 673_(Model LG1)</t>
  </si>
  <si>
    <t>SAPH440  2.0 X 224 X 663_(Model LG1)</t>
  </si>
  <si>
    <t>SAPH440  2.0 X 184 X 655_(Model LG1)</t>
  </si>
  <si>
    <t>BUSDE+Z-CSG+0 0/50 FC  1.0 X 440 X 450</t>
  </si>
  <si>
    <t>BUSDE+Z-CSG+0 0/50 FC  1.0 X 460 X 480</t>
  </si>
  <si>
    <t>THAI HONDA  KYZJ</t>
  </si>
  <si>
    <t>MITSUBA  WM-21</t>
  </si>
  <si>
    <t>THAI HONDA  K1MA</t>
  </si>
  <si>
    <t>TRIUMPH  DV</t>
  </si>
  <si>
    <t>KUBOTA  ET70/80</t>
  </si>
  <si>
    <t>KUBOTA  ET95/110</t>
  </si>
  <si>
    <t>YANMAR  TF105/115</t>
  </si>
  <si>
    <t>KUBOTA  RT100/125</t>
  </si>
  <si>
    <t>Customer &amp; Model</t>
  </si>
  <si>
    <t>KURASIKI  J97M/U</t>
  </si>
  <si>
    <t>THAI HONDA  KWWA,KWWM</t>
  </si>
  <si>
    <t>YANMAR  TF75/85 ML</t>
  </si>
  <si>
    <t>THAI HONDA  KPHA</t>
  </si>
  <si>
    <t>TRIUMPH  LG1</t>
  </si>
  <si>
    <t>KUBOTA  E13A</t>
  </si>
  <si>
    <t>SPCEN 1.00 X 440 X 495</t>
  </si>
  <si>
    <t>KUBOTA  G273</t>
  </si>
  <si>
    <t xml:space="preserve"> SPCC 0.60 X 295 X 605</t>
  </si>
  <si>
    <t>09-17169742</t>
  </si>
  <si>
    <t xml:space="preserve">Ms.Kannika Nompon  </t>
  </si>
  <si>
    <t>Kannika Nampon &lt;Kannika.Nam@thaisummit.co.th&gt;</t>
  </si>
  <si>
    <t>HONDA KPWA</t>
  </si>
  <si>
    <t>JSC270C 0.8 X 112 X COIL</t>
  </si>
  <si>
    <t>JSC270C 0.8 X 76 X COIL</t>
  </si>
  <si>
    <t>JSC270C 0.5 X 63 X COIL</t>
  </si>
  <si>
    <t>HONDA K1HG</t>
  </si>
  <si>
    <t>Mr.Sutthicai Jainoon</t>
  </si>
  <si>
    <t>Mr.Surasak Wattana-Udomsiri</t>
  </si>
  <si>
    <t>JSH270C T8.0 X 360 X 609</t>
  </si>
  <si>
    <t>HONDA MLAH</t>
  </si>
  <si>
    <t>SPCEN-SD T1.0 X 530 X 800</t>
  </si>
  <si>
    <t>TRIUMPH DP5</t>
  </si>
  <si>
    <t>JSC270C 0.6 X 330 X 630</t>
  </si>
  <si>
    <t>HONDA K0GA</t>
  </si>
  <si>
    <t>07.2026</t>
  </si>
  <si>
    <t>08.2026</t>
  </si>
  <si>
    <t>09.2026</t>
  </si>
  <si>
    <t>10.2026</t>
  </si>
  <si>
    <t>11.2026</t>
  </si>
  <si>
    <t>Forecsat Monthly    July     2026  -  December    2026</t>
  </si>
  <si>
    <t>12.2026</t>
  </si>
  <si>
    <t>2026.10.06.01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</si>
</sst>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-* #,##0.00_-;\-* #,##0.00_-;_-* &quot;-&quot;??_-;_-@_-"/>
    <numFmt numFmtId="165" formatCode="0.0000"/>
    <numFmt numFmtId="166" formatCode="#,##0;\-#,##0;&quot;-&quot;"/>
    <numFmt numFmtId="167" formatCode="_(* #,##0.0_);_(* \(#,##0.0\);_(* &quot;-&quot;??_);_(@_)"/>
    <numFmt numFmtId="168" formatCode="_(&quot;Cr$&quot;* #,##0_);_(&quot;Cr$&quot;* \(#,##0\);_(&quot;Cr$&quot;* &quot;-&quot;_);_(@_)"/>
    <numFmt numFmtId="169" formatCode="_(&quot;Cr$&quot;* #,##0.00_);_(&quot;Cr$&quot;* \(#,##0.00\);_(&quot;Cr$&quot;* &quot;-&quot;??_);_(@_)"/>
    <numFmt numFmtId="170" formatCode="0.00_)"/>
    <numFmt numFmtId="171" formatCode="&quot;\&quot;#,##0;[Red]&quot;\&quot;\-#,##0"/>
    <numFmt numFmtId="172" formatCode="&quot;\&quot;#,##0.00;[Red]&quot;\&quot;\-#,##0.00"/>
    <numFmt numFmtId="173" formatCode="_ * #,##0.00_ ;_ * \-#,##0.00_ ;_ * &quot;-&quot;??_ ;_ @_ "/>
    <numFmt numFmtId="174" formatCode="_ * #,##0_ ;_ * \-#,##0_ ;_ * &quot;-&quot;_ ;_ @_ "/>
  </numFmts>
  <fonts count="83">
    <font>
      <sz val="11"/>
      <color theme="1"/>
      <name val="Calibri"/>
      <family val="2"/>
      <charset val="222"/>
      <scheme val="minor"/>
    </font>
    <font>
      <sz val="11"/>
      <color indexed="8"/>
      <name val="Tahoma"/>
      <family val="2"/>
      <charset val="222"/>
    </font>
    <font>
      <sz val="12"/>
      <color indexed="8"/>
      <name val="Tahoma"/>
      <family val="2"/>
    </font>
    <font>
      <sz val="8"/>
      <name val="Tahoma"/>
      <family val="2"/>
      <charset val="222"/>
    </font>
    <font>
      <sz val="8"/>
      <color indexed="8"/>
      <name val="Tahoma"/>
      <family val="2"/>
      <charset val="222"/>
    </font>
    <font>
      <sz val="8"/>
      <name val="Tahoma"/>
      <family val="2"/>
    </font>
    <font>
      <b/>
      <sz val="8"/>
      <color indexed="8"/>
      <name val="Tahoma"/>
      <family val="2"/>
      <charset val="222"/>
    </font>
    <font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0"/>
      <color theme="1"/>
      <name val="Arial"/>
      <family val="2"/>
      <charset val="222"/>
    </font>
    <font>
      <b/>
      <sz val="11"/>
      <color rgb="FF3F3F3F"/>
      <name val="Calibri"/>
      <family val="2"/>
      <charset val="222"/>
      <scheme val="minor"/>
    </font>
    <font>
      <b/>
      <sz val="18"/>
      <color theme="3"/>
      <name val="Cambria"/>
      <family val="2"/>
      <charset val="222"/>
      <scheme val="major"/>
    </font>
    <font>
      <b/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sz val="10"/>
      <name val="Arial"/>
      <family val="2"/>
    </font>
    <font>
      <b/>
      <sz val="20"/>
      <color indexed="8"/>
      <name val="Tahoma"/>
      <family val="2"/>
    </font>
    <font>
      <b/>
      <sz val="8"/>
      <color indexed="8"/>
      <name val="Tahoma"/>
      <family val="2"/>
    </font>
    <font>
      <b/>
      <sz val="8"/>
      <name val="Tahoma"/>
      <family val="2"/>
    </font>
    <font>
      <b/>
      <u/>
      <sz val="8"/>
      <name val="Tahoma"/>
      <family val="2"/>
    </font>
    <font>
      <b/>
      <sz val="8"/>
      <color rgb="FF0000FF"/>
      <name val="Tahoma"/>
      <family val="2"/>
    </font>
    <font>
      <u/>
      <sz val="11"/>
      <color theme="10"/>
      <name val="Calibri"/>
      <family val="2"/>
      <charset val="222"/>
      <scheme val="minor"/>
    </font>
    <font>
      <u/>
      <sz val="8"/>
      <color theme="10"/>
      <name val="Calibri"/>
      <family val="2"/>
      <charset val="222"/>
      <scheme val="minor"/>
    </font>
    <font>
      <b/>
      <sz val="8"/>
      <name val="Tahoma"/>
      <family val="2"/>
      <charset val="222"/>
    </font>
    <font>
      <b/>
      <u/>
      <sz val="8"/>
      <color theme="10"/>
      <name val="Calibri"/>
      <family val="2"/>
      <charset val="222"/>
      <scheme val="minor"/>
    </font>
    <font>
      <b/>
      <sz val="11"/>
      <color rgb="FF0000FF"/>
      <name val="Cambria"/>
      <family val="1"/>
    </font>
    <font>
      <b/>
      <u/>
      <sz val="8"/>
      <name val="Tahoma"/>
      <family val="2"/>
      <charset val="222"/>
    </font>
    <font>
      <b/>
      <u/>
      <sz val="8"/>
      <color rgb="FF0000FF"/>
      <name val="Tahoma"/>
      <family val="2"/>
      <charset val="222"/>
    </font>
    <font>
      <b/>
      <sz val="8"/>
      <color rgb="FF0000FF"/>
      <name val="Tahoma"/>
      <family val="2"/>
      <charset val="222"/>
    </font>
    <font>
      <sz val="9"/>
      <color theme="0"/>
      <name val="Tahoma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sz val="11"/>
      <name val="Times New Roman"/>
      <family val="1"/>
    </font>
    <font>
      <b/>
      <i/>
      <sz val="16"/>
      <name val="Helv"/>
    </font>
    <font>
      <sz val="14"/>
      <name val="Cordia New"/>
      <family val="2"/>
    </font>
    <font>
      <sz val="11"/>
      <name val="ＭＳ Ｐゴシック"/>
      <family val="3"/>
      <charset val="128"/>
    </font>
    <font>
      <sz val="10"/>
      <name val="ＨＧ丸ゴシックM"/>
      <family val="3"/>
      <charset val="128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4"/>
      <color theme="1"/>
      <name val="AngsanaUPC"/>
      <family val="2"/>
      <charset val="222"/>
    </font>
    <font>
      <sz val="14"/>
      <color theme="0"/>
      <name val="AngsanaUPC"/>
      <family val="2"/>
      <charset val="222"/>
    </font>
    <font>
      <sz val="14"/>
      <color rgb="FF9C0006"/>
      <name val="AngsanaUPC"/>
      <family val="2"/>
      <charset val="222"/>
    </font>
    <font>
      <b/>
      <sz val="14"/>
      <color rgb="FFFA7D00"/>
      <name val="AngsanaUPC"/>
      <family val="2"/>
      <charset val="222"/>
    </font>
    <font>
      <b/>
      <sz val="14"/>
      <color theme="0"/>
      <name val="AngsanaUPC"/>
      <family val="2"/>
      <charset val="222"/>
    </font>
    <font>
      <i/>
      <sz val="14"/>
      <color rgb="FF7F7F7F"/>
      <name val="AngsanaUPC"/>
      <family val="2"/>
      <charset val="222"/>
    </font>
    <font>
      <sz val="14"/>
      <color rgb="FF006100"/>
      <name val="AngsanaUPC"/>
      <family val="2"/>
      <charset val="222"/>
    </font>
    <font>
      <b/>
      <sz val="15"/>
      <color theme="3"/>
      <name val="AngsanaUPC"/>
      <family val="2"/>
      <charset val="222"/>
    </font>
    <font>
      <b/>
      <sz val="13"/>
      <color theme="3"/>
      <name val="AngsanaUPC"/>
      <family val="2"/>
      <charset val="222"/>
    </font>
    <font>
      <b/>
      <sz val="11"/>
      <color theme="3"/>
      <name val="AngsanaUPC"/>
      <family val="2"/>
      <charset val="222"/>
    </font>
    <font>
      <sz val="14"/>
      <color rgb="FF3F3F76"/>
      <name val="AngsanaUPC"/>
      <family val="2"/>
      <charset val="222"/>
    </font>
    <font>
      <sz val="14"/>
      <color rgb="FFFA7D00"/>
      <name val="AngsanaUPC"/>
      <family val="2"/>
      <charset val="222"/>
    </font>
    <font>
      <sz val="14"/>
      <color rgb="FF9C6500"/>
      <name val="AngsanaUPC"/>
      <family val="2"/>
      <charset val="222"/>
    </font>
    <font>
      <sz val="11"/>
      <color theme="1"/>
      <name val="Tahoma"/>
      <family val="2"/>
    </font>
    <font>
      <b/>
      <sz val="14"/>
      <color rgb="FF3F3F3F"/>
      <name val="AngsanaUPC"/>
      <family val="2"/>
      <charset val="222"/>
    </font>
    <font>
      <b/>
      <sz val="14"/>
      <color theme="1"/>
      <name val="AngsanaUPC"/>
      <family val="2"/>
      <charset val="222"/>
    </font>
    <font>
      <sz val="14"/>
      <color rgb="FFFF0000"/>
      <name val="AngsanaUPC"/>
      <family val="2"/>
      <charset val="222"/>
    </font>
    <font>
      <sz val="18"/>
      <color theme="3"/>
      <name val="Cambria"/>
      <family val="2"/>
      <charset val="222"/>
      <scheme val="major"/>
    </font>
    <font>
      <sz val="9"/>
      <color indexed="8"/>
      <name val="Tahoma"/>
      <family val="2"/>
      <charset val="222"/>
    </font>
    <font>
      <sz val="9"/>
      <name val="Tahoma"/>
      <family val="2"/>
      <charset val="222"/>
    </font>
    <font>
      <sz val="9"/>
      <name val="Tahoma"/>
      <family val="2"/>
    </font>
    <font>
      <b/>
      <sz val="9"/>
      <color indexed="8"/>
      <name val="Tahoma"/>
      <family val="2"/>
      <charset val="222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name val="Tahoma"/>
      <family val="2"/>
    </font>
    <font>
      <sz val="11"/>
      <color rgb="FF9C5700"/>
      <name val="Calibri"/>
      <family val="2"/>
      <charset val="222"/>
      <scheme val="minor"/>
    </font>
    <font>
      <b/>
      <sz val="10"/>
      <color indexed="8"/>
      <name val="Tahoma"/>
      <family val="2"/>
    </font>
    <font>
      <sz val="10"/>
      <name val="Tahoma"/>
      <family val="2"/>
      <charset val="222"/>
    </font>
    <font>
      <b/>
      <sz val="10"/>
      <name val="Tahoma"/>
      <family val="2"/>
    </font>
    <font>
      <b/>
      <sz val="10"/>
      <name val="Tahoma"/>
      <family val="2"/>
      <charset val="222"/>
    </font>
    <font>
      <b/>
      <sz val="10"/>
      <color indexed="8"/>
      <name val="Tahoma"/>
      <family val="2"/>
      <charset val="222"/>
    </font>
    <font>
      <sz val="8"/>
      <name val="Calibri"/>
      <family val="2"/>
      <charset val="222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80">
    <xf numFmtId="0" fontId="0" fillId="0" borderId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9" fillId="28" borderId="0" applyNumberFormat="0" applyBorder="0" applyAlignment="0" applyProtection="0"/>
    <xf numFmtId="0" fontId="10" fillId="29" borderId="2" applyNumberFormat="0" applyAlignment="0" applyProtection="0"/>
    <xf numFmtId="0" fontId="11" fillId="30" borderId="3" applyNumberFormat="0" applyAlignment="0" applyProtection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31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32" borderId="2" applyNumberFormat="0" applyAlignment="0" applyProtection="0"/>
    <xf numFmtId="0" fontId="18" fillId="0" borderId="7" applyNumberFormat="0" applyFill="0" applyAlignment="0" applyProtection="0"/>
    <xf numFmtId="0" fontId="19" fillId="33" borderId="0" applyNumberFormat="0" applyBorder="0" applyAlignment="0" applyProtection="0"/>
    <xf numFmtId="0" fontId="20" fillId="0" borderId="0"/>
    <xf numFmtId="0" fontId="1" fillId="34" borderId="8" applyNumberFormat="0" applyFont="0" applyAlignment="0" applyProtection="0"/>
    <xf numFmtId="0" fontId="21" fillId="29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  <xf numFmtId="164" fontId="25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20" borderId="0" applyNumberFormat="0" applyBorder="0" applyAlignment="0" applyProtection="0"/>
    <xf numFmtId="0" fontId="52" fillId="20" borderId="0" applyNumberFormat="0" applyBorder="0" applyAlignment="0" applyProtection="0"/>
    <xf numFmtId="0" fontId="52" fillId="21" borderId="0" applyNumberFormat="0" applyBorder="0" applyAlignment="0" applyProtection="0"/>
    <xf numFmtId="0" fontId="52" fillId="21" borderId="0" applyNumberFormat="0" applyBorder="0" applyAlignment="0" applyProtection="0"/>
    <xf numFmtId="0" fontId="52" fillId="22" borderId="0" applyNumberFormat="0" applyBorder="0" applyAlignment="0" applyProtection="0"/>
    <xf numFmtId="0" fontId="52" fillId="22" borderId="0" applyNumberFormat="0" applyBorder="0" applyAlignment="0" applyProtection="0"/>
    <xf numFmtId="0" fontId="52" fillId="23" borderId="0" applyNumberFormat="0" applyBorder="0" applyAlignment="0" applyProtection="0"/>
    <xf numFmtId="0" fontId="52" fillId="23" borderId="0" applyNumberFormat="0" applyBorder="0" applyAlignment="0" applyProtection="0"/>
    <xf numFmtId="0" fontId="52" fillId="24" borderId="0" applyNumberFormat="0" applyBorder="0" applyAlignment="0" applyProtection="0"/>
    <xf numFmtId="0" fontId="52" fillId="24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7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166" fontId="40" fillId="0" borderId="0" applyFill="0" applyBorder="0" applyAlignment="0"/>
    <xf numFmtId="0" fontId="54" fillId="29" borderId="2" applyNumberFormat="0" applyAlignment="0" applyProtection="0"/>
    <xf numFmtId="0" fontId="54" fillId="29" borderId="2" applyNumberFormat="0" applyAlignment="0" applyProtection="0"/>
    <xf numFmtId="0" fontId="55" fillId="30" borderId="3" applyNumberFormat="0" applyAlignment="0" applyProtection="0"/>
    <xf numFmtId="0" fontId="55" fillId="30" borderId="3" applyNumberFormat="0" applyAlignment="0" applyProtection="0"/>
    <xf numFmtId="164" fontId="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38" fontId="41" fillId="2" borderId="0" applyNumberFormat="0" applyBorder="0" applyAlignment="0" applyProtection="0"/>
    <xf numFmtId="0" fontId="42" fillId="0" borderId="36" applyNumberFormat="0" applyAlignment="0" applyProtection="0">
      <alignment horizontal="left" vertical="center"/>
    </xf>
    <xf numFmtId="0" fontId="42" fillId="0" borderId="21">
      <alignment horizontal="left" vertical="center"/>
    </xf>
    <xf numFmtId="0" fontId="58" fillId="0" borderId="4" applyNumberFormat="0" applyFill="0" applyAlignment="0" applyProtection="0"/>
    <xf numFmtId="0" fontId="58" fillId="0" borderId="4" applyNumberFormat="0" applyFill="0" applyAlignment="0" applyProtection="0"/>
    <xf numFmtId="0" fontId="59" fillId="0" borderId="5" applyNumberFormat="0" applyFill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0" fillId="0" borderId="6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10" fontId="41" fillId="2" borderId="1" applyNumberFormat="0" applyBorder="0" applyAlignment="0" applyProtection="0"/>
    <xf numFmtId="0" fontId="61" fillId="32" borderId="2" applyNumberFormat="0" applyAlignment="0" applyProtection="0"/>
    <xf numFmtId="0" fontId="61" fillId="32" borderId="2" applyNumberFormat="0" applyAlignment="0" applyProtection="0"/>
    <xf numFmtId="0" fontId="62" fillId="0" borderId="7" applyNumberFormat="0" applyFill="0" applyAlignment="0" applyProtection="0"/>
    <xf numFmtId="0" fontId="62" fillId="0" borderId="7" applyNumberFormat="0" applyFill="0" applyAlignment="0" applyProtection="0"/>
    <xf numFmtId="38" fontId="43" fillId="0" borderId="0" applyFont="0" applyFill="0" applyBorder="0" applyAlignment="0" applyProtection="0"/>
    <xf numFmtId="40" fontId="43" fillId="0" borderId="0" applyFont="0" applyFill="0" applyBorder="0" applyAlignment="0" applyProtection="0"/>
    <xf numFmtId="168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6" fontId="43" fillId="0" borderId="0" applyFont="0" applyFill="0" applyBorder="0" applyAlignment="0" applyProtection="0"/>
    <xf numFmtId="8" fontId="43" fillId="0" borderId="0" applyFont="0" applyFill="0" applyBorder="0" applyAlignment="0" applyProtection="0"/>
    <xf numFmtId="0" fontId="63" fillId="33" borderId="0" applyNumberFormat="0" applyBorder="0" applyAlignment="0" applyProtection="0"/>
    <xf numFmtId="0" fontId="63" fillId="33" borderId="0" applyNumberFormat="0" applyBorder="0" applyAlignment="0" applyProtection="0"/>
    <xf numFmtId="170" fontId="45" fillId="0" borderId="0"/>
    <xf numFmtId="0" fontId="46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0" fontId="7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25" fillId="0" borderId="0"/>
    <xf numFmtId="0" fontId="25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34" borderId="8" applyNumberFormat="0" applyFont="0" applyAlignment="0" applyProtection="0"/>
    <xf numFmtId="0" fontId="51" fillId="34" borderId="8" applyNumberFormat="0" applyFont="0" applyAlignment="0" applyProtection="0"/>
    <xf numFmtId="0" fontId="65" fillId="29" borderId="9" applyNumberFormat="0" applyAlignment="0" applyProtection="0"/>
    <xf numFmtId="0" fontId="65" fillId="29" borderId="9" applyNumberFormat="0" applyAlignment="0" applyProtection="0"/>
    <xf numFmtId="10" fontId="25" fillId="0" borderId="0" applyFont="0" applyFill="0" applyBorder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0" fontId="25" fillId="0" borderId="0"/>
    <xf numFmtId="0" fontId="66" fillId="0" borderId="10" applyNumberFormat="0" applyFill="0" applyAlignment="0" applyProtection="0"/>
    <xf numFmtId="0" fontId="66" fillId="0" borderId="10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38" fontId="48" fillId="0" borderId="0" applyFont="0" applyFill="0" applyBorder="0" applyAlignment="0" applyProtection="0"/>
    <xf numFmtId="40" fontId="48" fillId="0" borderId="0" applyFont="0" applyFill="0" applyBorder="0" applyAlignment="0" applyProtection="0"/>
    <xf numFmtId="171" fontId="48" fillId="0" borderId="0" applyFont="0" applyFill="0" applyBorder="0" applyAlignment="0" applyProtection="0"/>
    <xf numFmtId="172" fontId="48" fillId="0" borderId="0" applyFont="0" applyFill="0" applyBorder="0" applyAlignment="0" applyProtection="0"/>
    <xf numFmtId="0" fontId="46" fillId="0" borderId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0" fontId="46" fillId="0" borderId="0"/>
    <xf numFmtId="172" fontId="47" fillId="0" borderId="0" applyFont="0" applyFill="0" applyBorder="0" applyAlignment="0" applyProtection="0"/>
    <xf numFmtId="171" fontId="47" fillId="0" borderId="0" applyFont="0" applyFill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9" fillId="28" borderId="0" applyNumberFormat="0" applyBorder="0" applyAlignment="0" applyProtection="0"/>
    <xf numFmtId="0" fontId="10" fillId="29" borderId="2" applyNumberFormat="0" applyAlignment="0" applyProtection="0"/>
    <xf numFmtId="0" fontId="11" fillId="30" borderId="3" applyNumberFormat="0" applyAlignment="0" applyProtection="0"/>
    <xf numFmtId="0" fontId="12" fillId="0" borderId="0" applyNumberFormat="0" applyFill="0" applyBorder="0" applyAlignment="0" applyProtection="0"/>
    <xf numFmtId="0" fontId="13" fillId="31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32" borderId="2" applyNumberFormat="0" applyAlignment="0" applyProtection="0"/>
    <xf numFmtId="0" fontId="17" fillId="32" borderId="2" applyNumberFormat="0" applyAlignment="0" applyProtection="0"/>
    <xf numFmtId="0" fontId="17" fillId="32" borderId="2" applyNumberFormat="0" applyAlignment="0" applyProtection="0"/>
    <xf numFmtId="0" fontId="18" fillId="0" borderId="7" applyNumberFormat="0" applyFill="0" applyAlignment="0" applyProtection="0"/>
    <xf numFmtId="0" fontId="19" fillId="33" borderId="0" applyNumberFormat="0" applyBorder="0" applyAlignment="0" applyProtection="0"/>
    <xf numFmtId="0" fontId="7" fillId="34" borderId="8" applyNumberFormat="0" applyFont="0" applyAlignment="0" applyProtection="0"/>
    <xf numFmtId="0" fontId="21" fillId="29" borderId="9" applyNumberFormat="0" applyAlignment="0" applyProtection="0"/>
    <xf numFmtId="0" fontId="68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6" fillId="33" borderId="0" applyNumberFormat="0" applyBorder="0" applyAlignment="0" applyProtection="0"/>
    <xf numFmtId="164" fontId="1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17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2" borderId="0" xfId="0" applyFont="1" applyFill="1" applyAlignment="1">
      <alignment horizontal="center"/>
    </xf>
    <xf numFmtId="49" fontId="6" fillId="36" borderId="1" xfId="28" applyNumberFormat="1" applyFont="1" applyFill="1" applyBorder="1" applyAlignment="1">
      <alignment horizontal="center" vertical="center"/>
    </xf>
    <xf numFmtId="0" fontId="4" fillId="0" borderId="11" xfId="0" applyFont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3" fillId="0" borderId="14" xfId="0" applyFont="1" applyBorder="1"/>
    <xf numFmtId="0" fontId="27" fillId="0" borderId="14" xfId="0" applyFont="1" applyBorder="1"/>
    <xf numFmtId="0" fontId="27" fillId="0" borderId="0" xfId="0" applyFont="1" applyAlignment="1">
      <alignment horizontal="center"/>
    </xf>
    <xf numFmtId="0" fontId="27" fillId="0" borderId="0" xfId="0" applyFont="1"/>
    <xf numFmtId="0" fontId="28" fillId="0" borderId="0" xfId="0" applyFont="1"/>
    <xf numFmtId="0" fontId="3" fillId="0" borderId="15" xfId="0" applyFont="1" applyBorder="1"/>
    <xf numFmtId="0" fontId="4" fillId="0" borderId="25" xfId="0" applyFont="1" applyBorder="1" applyAlignment="1">
      <alignment horizontal="center" vertical="center"/>
    </xf>
    <xf numFmtId="3" fontId="5" fillId="35" borderId="25" xfId="0" applyNumberFormat="1" applyFont="1" applyFill="1" applyBorder="1" applyAlignment="1">
      <alignment horizontal="center" vertical="center"/>
    </xf>
    <xf numFmtId="3" fontId="5" fillId="35" borderId="26" xfId="0" applyNumberFormat="1" applyFont="1" applyFill="1" applyBorder="1" applyAlignment="1">
      <alignment horizontal="center" vertical="center"/>
    </xf>
    <xf numFmtId="3" fontId="5" fillId="35" borderId="26" xfId="0" applyNumberFormat="1" applyFont="1" applyFill="1" applyBorder="1" applyAlignment="1">
      <alignment vertical="center"/>
    </xf>
    <xf numFmtId="3" fontId="5" fillId="35" borderId="27" xfId="0" applyNumberFormat="1" applyFont="1" applyFill="1" applyBorder="1" applyAlignment="1">
      <alignment vertical="center"/>
    </xf>
    <xf numFmtId="3" fontId="5" fillId="35" borderId="28" xfId="0" applyNumberFormat="1" applyFont="1" applyFill="1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3" fillId="35" borderId="29" xfId="0" applyFont="1" applyFill="1" applyBorder="1" applyAlignment="1">
      <alignment horizontal="center" vertical="center"/>
    </xf>
    <xf numFmtId="3" fontId="5" fillId="35" borderId="30" xfId="0" applyNumberFormat="1" applyFont="1" applyFill="1" applyBorder="1" applyAlignment="1">
      <alignment vertical="center"/>
    </xf>
    <xf numFmtId="3" fontId="5" fillId="35" borderId="31" xfId="0" applyNumberFormat="1" applyFont="1" applyFill="1" applyBorder="1" applyAlignment="1">
      <alignment vertical="center"/>
    </xf>
    <xf numFmtId="3" fontId="5" fillId="35" borderId="32" xfId="0" applyNumberFormat="1" applyFont="1" applyFill="1" applyBorder="1" applyAlignment="1">
      <alignment vertical="center"/>
    </xf>
    <xf numFmtId="49" fontId="6" fillId="36" borderId="24" xfId="28" applyNumberFormat="1" applyFont="1" applyFill="1" applyBorder="1" applyAlignment="1">
      <alignment horizontal="center" vertical="center"/>
    </xf>
    <xf numFmtId="3" fontId="5" fillId="35" borderId="33" xfId="0" applyNumberFormat="1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3" fillId="35" borderId="26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27" fillId="0" borderId="16" xfId="0" applyFont="1" applyBorder="1"/>
    <xf numFmtId="0" fontId="27" fillId="0" borderId="17" xfId="0" applyFont="1" applyBorder="1" applyAlignment="1">
      <alignment horizontal="center"/>
    </xf>
    <xf numFmtId="0" fontId="27" fillId="0" borderId="15" xfId="0" applyFont="1" applyBorder="1"/>
    <xf numFmtId="0" fontId="27" fillId="0" borderId="18" xfId="0" applyFont="1" applyBorder="1"/>
    <xf numFmtId="0" fontId="3" fillId="0" borderId="26" xfId="0" applyFont="1" applyBorder="1"/>
    <xf numFmtId="0" fontId="3" fillId="0" borderId="28" xfId="0" applyFont="1" applyBorder="1"/>
    <xf numFmtId="49" fontId="6" fillId="36" borderId="19" xfId="28" applyNumberFormat="1" applyFont="1" applyFill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 applyAlignment="1">
      <alignment horizontal="center"/>
    </xf>
    <xf numFmtId="0" fontId="4" fillId="0" borderId="17" xfId="0" applyFont="1" applyBorder="1"/>
    <xf numFmtId="0" fontId="4" fillId="2" borderId="17" xfId="0" applyFont="1" applyFill="1" applyBorder="1" applyAlignment="1">
      <alignment horizontal="center"/>
    </xf>
    <xf numFmtId="0" fontId="4" fillId="0" borderId="18" xfId="0" applyFont="1" applyBorder="1"/>
    <xf numFmtId="0" fontId="28" fillId="35" borderId="0" xfId="0" applyFont="1" applyFill="1" applyAlignment="1">
      <alignment horizontal="left" vertical="center"/>
    </xf>
    <xf numFmtId="0" fontId="30" fillId="0" borderId="14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30" fillId="0" borderId="15" xfId="0" applyFont="1" applyBorder="1" applyAlignment="1">
      <alignment vertical="center"/>
    </xf>
    <xf numFmtId="0" fontId="30" fillId="0" borderId="16" xfId="0" applyFont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30" fillId="0" borderId="18" xfId="0" applyFont="1" applyBorder="1" applyAlignment="1">
      <alignment vertical="center"/>
    </xf>
    <xf numFmtId="0" fontId="33" fillId="0" borderId="0" xfId="0" applyFont="1"/>
    <xf numFmtId="0" fontId="29" fillId="0" borderId="0" xfId="0" applyFont="1"/>
    <xf numFmtId="0" fontId="34" fillId="0" borderId="0" xfId="45" applyFont="1" applyAlignment="1">
      <alignment horizontal="left"/>
    </xf>
    <xf numFmtId="0" fontId="6" fillId="0" borderId="14" xfId="0" applyFont="1" applyBorder="1"/>
    <xf numFmtId="0" fontId="6" fillId="0" borderId="0" xfId="0" applyFont="1"/>
    <xf numFmtId="0" fontId="35" fillId="0" borderId="0" xfId="0" applyFont="1"/>
    <xf numFmtId="49" fontId="33" fillId="0" borderId="0" xfId="0" applyNumberFormat="1" applyFont="1"/>
    <xf numFmtId="0" fontId="33" fillId="0" borderId="0" xfId="0" applyFont="1" applyAlignment="1">
      <alignment vertical="top"/>
    </xf>
    <xf numFmtId="0" fontId="33" fillId="0" borderId="17" xfId="0" applyFont="1" applyBorder="1"/>
    <xf numFmtId="0" fontId="33" fillId="35" borderId="0" xfId="0" applyFont="1" applyFill="1"/>
    <xf numFmtId="49" fontId="32" fillId="0" borderId="0" xfId="45" applyNumberFormat="1" applyFont="1" applyBorder="1" applyAlignment="1">
      <alignment horizontal="left"/>
    </xf>
    <xf numFmtId="0" fontId="36" fillId="0" borderId="0" xfId="0" applyFont="1" applyAlignment="1">
      <alignment horizontal="left"/>
    </xf>
    <xf numFmtId="0" fontId="33" fillId="0" borderId="12" xfId="0" applyFont="1" applyBorder="1"/>
    <xf numFmtId="0" fontId="33" fillId="0" borderId="0" xfId="0" applyFont="1" applyAlignment="1">
      <alignment horizontal="left" vertical="center"/>
    </xf>
    <xf numFmtId="49" fontId="28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0" fontId="37" fillId="0" borderId="0" xfId="0" applyFont="1" applyAlignment="1">
      <alignment horizontal="left"/>
    </xf>
    <xf numFmtId="0" fontId="38" fillId="0" borderId="0" xfId="0" applyFont="1"/>
    <xf numFmtId="0" fontId="38" fillId="0" borderId="11" xfId="0" applyFont="1" applyBorder="1"/>
    <xf numFmtId="0" fontId="38" fillId="0" borderId="12" xfId="0" applyFont="1" applyBorder="1" applyAlignment="1">
      <alignment vertical="center"/>
    </xf>
    <xf numFmtId="0" fontId="38" fillId="0" borderId="13" xfId="0" applyFont="1" applyBorder="1" applyAlignment="1">
      <alignment vertical="center"/>
    </xf>
    <xf numFmtId="49" fontId="36" fillId="0" borderId="0" xfId="0" applyNumberFormat="1" applyFont="1"/>
    <xf numFmtId="0" fontId="69" fillId="0" borderId="0" xfId="0" applyFont="1"/>
    <xf numFmtId="0" fontId="72" fillId="3" borderId="1" xfId="0" applyFont="1" applyFill="1" applyBorder="1" applyAlignment="1">
      <alignment horizontal="center" vertical="center"/>
    </xf>
    <xf numFmtId="0" fontId="72" fillId="3" borderId="19" xfId="0" applyFont="1" applyFill="1" applyBorder="1" applyAlignment="1">
      <alignment horizontal="center" vertical="center"/>
    </xf>
    <xf numFmtId="0" fontId="72" fillId="3" borderId="20" xfId="0" applyFont="1" applyFill="1" applyBorder="1" applyAlignment="1">
      <alignment horizontal="center" vertical="center"/>
    </xf>
    <xf numFmtId="0" fontId="72" fillId="36" borderId="20" xfId="0" applyFont="1" applyFill="1" applyBorder="1" applyAlignment="1">
      <alignment horizontal="center" vertical="center"/>
    </xf>
    <xf numFmtId="49" fontId="72" fillId="36" borderId="1" xfId="28" applyNumberFormat="1" applyFont="1" applyFill="1" applyBorder="1" applyAlignment="1">
      <alignment horizontal="center" vertical="center"/>
    </xf>
    <xf numFmtId="0" fontId="72" fillId="0" borderId="0" xfId="0" applyFont="1" applyAlignment="1">
      <alignment vertical="center"/>
    </xf>
    <xf numFmtId="0" fontId="69" fillId="0" borderId="29" xfId="0" applyFont="1" applyBorder="1" applyAlignment="1">
      <alignment horizontal="center" vertical="center"/>
    </xf>
    <xf numFmtId="0" fontId="70" fillId="35" borderId="30" xfId="0" applyFont="1" applyFill="1" applyBorder="1" applyAlignment="1">
      <alignment horizontal="left" vertical="center"/>
    </xf>
    <xf numFmtId="0" fontId="70" fillId="35" borderId="32" xfId="0" applyFont="1" applyFill="1" applyBorder="1" applyAlignment="1">
      <alignment horizontal="left" vertical="center"/>
    </xf>
    <xf numFmtId="3" fontId="71" fillId="35" borderId="33" xfId="0" applyNumberFormat="1" applyFont="1" applyFill="1" applyBorder="1" applyAlignment="1">
      <alignment horizontal="center" vertical="center"/>
    </xf>
    <xf numFmtId="3" fontId="71" fillId="35" borderId="29" xfId="0" applyNumberFormat="1" applyFont="1" applyFill="1" applyBorder="1" applyAlignment="1">
      <alignment horizontal="center" vertical="center" wrapText="1"/>
    </xf>
    <xf numFmtId="0" fontId="70" fillId="37" borderId="29" xfId="0" applyFont="1" applyFill="1" applyBorder="1" applyAlignment="1">
      <alignment horizontal="center" vertical="center"/>
    </xf>
    <xf numFmtId="0" fontId="73" fillId="35" borderId="0" xfId="0" applyFont="1" applyFill="1" applyAlignment="1">
      <alignment vertical="center"/>
    </xf>
    <xf numFmtId="0" fontId="71" fillId="35" borderId="29" xfId="0" applyFont="1" applyFill="1" applyBorder="1" applyAlignment="1">
      <alignment horizontal="left" vertical="center"/>
    </xf>
    <xf numFmtId="0" fontId="70" fillId="35" borderId="30" xfId="0" applyFont="1" applyFill="1" applyBorder="1" applyAlignment="1">
      <alignment vertical="center"/>
    </xf>
    <xf numFmtId="0" fontId="70" fillId="35" borderId="32" xfId="0" applyFont="1" applyFill="1" applyBorder="1" applyAlignment="1">
      <alignment vertical="center"/>
    </xf>
    <xf numFmtId="0" fontId="69" fillId="0" borderId="16" xfId="0" applyFont="1" applyBorder="1"/>
    <xf numFmtId="0" fontId="69" fillId="0" borderId="17" xfId="0" applyFont="1" applyBorder="1" applyAlignment="1">
      <alignment horizontal="center"/>
    </xf>
    <xf numFmtId="0" fontId="69" fillId="0" borderId="17" xfId="0" applyFont="1" applyBorder="1"/>
    <xf numFmtId="0" fontId="69" fillId="35" borderId="17" xfId="0" applyFont="1" applyFill="1" applyBorder="1" applyAlignment="1">
      <alignment horizontal="center"/>
    </xf>
    <xf numFmtId="0" fontId="69" fillId="0" borderId="0" xfId="0" applyFont="1" applyAlignment="1">
      <alignment horizontal="center"/>
    </xf>
    <xf numFmtId="0" fontId="69" fillId="35" borderId="0" xfId="0" applyFont="1" applyFill="1" applyAlignment="1">
      <alignment horizontal="center"/>
    </xf>
    <xf numFmtId="3" fontId="71" fillId="35" borderId="29" xfId="0" applyNumberFormat="1" applyFont="1" applyFill="1" applyBorder="1" applyAlignment="1">
      <alignment horizontal="center" vertical="center"/>
    </xf>
    <xf numFmtId="0" fontId="70" fillId="35" borderId="29" xfId="0" applyFont="1" applyFill="1" applyBorder="1" applyAlignment="1">
      <alignment horizontal="center" vertical="center"/>
    </xf>
    <xf numFmtId="0" fontId="70" fillId="35" borderId="29" xfId="0" applyFont="1" applyFill="1" applyBorder="1" applyAlignment="1">
      <alignment horizontal="left" vertical="center"/>
    </xf>
    <xf numFmtId="0" fontId="72" fillId="0" borderId="0" xfId="0" applyFont="1" applyAlignment="1">
      <alignment horizontal="center" vertical="center"/>
    </xf>
    <xf numFmtId="0" fontId="70" fillId="37" borderId="29" xfId="0" applyFont="1" applyFill="1" applyBorder="1" applyAlignment="1">
      <alignment horizontal="left" vertical="center"/>
    </xf>
    <xf numFmtId="3" fontId="75" fillId="35" borderId="33" xfId="0" applyNumberFormat="1" applyFont="1" applyFill="1" applyBorder="1" applyAlignment="1">
      <alignment horizontal="center" vertical="center"/>
    </xf>
    <xf numFmtId="0" fontId="27" fillId="0" borderId="14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35" borderId="0" xfId="0" applyFont="1" applyFill="1" applyAlignment="1">
      <alignment horizontal="left" vertical="center"/>
    </xf>
    <xf numFmtId="49" fontId="28" fillId="35" borderId="0" xfId="0" applyNumberFormat="1" applyFont="1" applyFill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80" fillId="35" borderId="0" xfId="0" applyFont="1" applyFill="1"/>
    <xf numFmtId="0" fontId="81" fillId="3" borderId="1" xfId="0" applyFont="1" applyFill="1" applyBorder="1" applyAlignment="1">
      <alignment horizontal="center" vertical="center"/>
    </xf>
    <xf numFmtId="0" fontId="81" fillId="3" borderId="19" xfId="0" applyFont="1" applyFill="1" applyBorder="1" applyAlignment="1">
      <alignment horizontal="center" vertical="center"/>
    </xf>
    <xf numFmtId="0" fontId="81" fillId="3" borderId="20" xfId="0" applyFont="1" applyFill="1" applyBorder="1" applyAlignment="1">
      <alignment horizontal="center" vertical="center"/>
    </xf>
    <xf numFmtId="3" fontId="75" fillId="35" borderId="25" xfId="0" applyNumberFormat="1" applyFont="1" applyFill="1" applyBorder="1" applyAlignment="1">
      <alignment horizontal="center" vertical="center"/>
    </xf>
    <xf numFmtId="3" fontId="75" fillId="35" borderId="26" xfId="0" applyNumberFormat="1" applyFont="1" applyFill="1" applyBorder="1" applyAlignment="1">
      <alignment horizontal="center" vertical="center"/>
    </xf>
    <xf numFmtId="0" fontId="78" fillId="35" borderId="29" xfId="0" applyFont="1" applyFill="1" applyBorder="1" applyAlignment="1">
      <alignment horizontal="left" vertical="center"/>
    </xf>
    <xf numFmtId="0" fontId="75" fillId="35" borderId="29" xfId="0" applyFont="1" applyFill="1" applyBorder="1" applyAlignment="1">
      <alignment horizontal="left" vertical="center"/>
    </xf>
    <xf numFmtId="0" fontId="78" fillId="35" borderId="30" xfId="0" applyFont="1" applyFill="1" applyBorder="1" applyAlignment="1">
      <alignment vertical="center"/>
    </xf>
    <xf numFmtId="0" fontId="78" fillId="35" borderId="32" xfId="0" applyFont="1" applyFill="1" applyBorder="1" applyAlignment="1">
      <alignment vertical="center"/>
    </xf>
    <xf numFmtId="0" fontId="78" fillId="35" borderId="29" xfId="0" applyFont="1" applyFill="1" applyBorder="1" applyAlignment="1">
      <alignment horizontal="left" vertical="center" wrapText="1"/>
    </xf>
    <xf numFmtId="0" fontId="81" fillId="36" borderId="20" xfId="0" applyFont="1" applyFill="1" applyBorder="1" applyAlignment="1">
      <alignment horizontal="center" vertical="center"/>
    </xf>
    <xf numFmtId="0" fontId="78" fillId="35" borderId="29" xfId="0" applyFont="1" applyFill="1" applyBorder="1" applyAlignment="1">
      <alignment horizontal="center" vertical="center"/>
    </xf>
    <xf numFmtId="3" fontId="75" fillId="35" borderId="29" xfId="0" applyNumberFormat="1" applyFont="1" applyFill="1" applyBorder="1" applyAlignment="1">
      <alignment horizontal="center" vertical="center"/>
    </xf>
    <xf numFmtId="0" fontId="75" fillId="35" borderId="29" xfId="0" applyFont="1" applyFill="1" applyBorder="1" applyAlignment="1">
      <alignment horizontal="center" vertical="center"/>
    </xf>
    <xf numFmtId="49" fontId="80" fillId="35" borderId="0" xfId="0" applyNumberFormat="1" applyFont="1" applyFill="1"/>
    <xf numFmtId="0" fontId="77" fillId="0" borderId="14" xfId="0" applyFont="1" applyBorder="1" applyAlignment="1">
      <alignment vertical="center"/>
    </xf>
    <xf numFmtId="0" fontId="77" fillId="0" borderId="0" xfId="0" applyFont="1" applyAlignment="1">
      <alignment vertical="center"/>
    </xf>
    <xf numFmtId="0" fontId="77" fillId="35" borderId="0" xfId="0" applyFont="1" applyFill="1" applyAlignment="1">
      <alignment horizontal="left" vertical="center"/>
    </xf>
    <xf numFmtId="49" fontId="79" fillId="35" borderId="0" xfId="0" applyNumberFormat="1" applyFont="1" applyFill="1" applyAlignment="1">
      <alignment horizontal="left" vertical="center"/>
    </xf>
    <xf numFmtId="0" fontId="80" fillId="35" borderId="17" xfId="0" applyFont="1" applyFill="1" applyBorder="1"/>
    <xf numFmtId="0" fontId="77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left"/>
    </xf>
    <xf numFmtId="0" fontId="3" fillId="0" borderId="16" xfId="0" applyFont="1" applyBorder="1" applyAlignment="1">
      <alignment horizontal="center" vertical="top"/>
    </xf>
    <xf numFmtId="0" fontId="3" fillId="0" borderId="18" xfId="0" applyFont="1" applyBorder="1" applyAlignment="1">
      <alignment horizontal="center" vertical="top"/>
    </xf>
    <xf numFmtId="0" fontId="27" fillId="36" borderId="19" xfId="0" applyFont="1" applyFill="1" applyBorder="1" applyAlignment="1">
      <alignment horizontal="center" vertical="center"/>
    </xf>
    <xf numFmtId="0" fontId="27" fillId="36" borderId="21" xfId="0" applyFont="1" applyFill="1" applyBorder="1" applyAlignment="1">
      <alignment horizontal="center" vertical="center"/>
    </xf>
    <xf numFmtId="0" fontId="27" fillId="36" borderId="20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top"/>
    </xf>
    <xf numFmtId="0" fontId="33" fillId="0" borderId="0" xfId="0" applyFont="1" applyAlignment="1">
      <alignment horizontal="center"/>
    </xf>
    <xf numFmtId="0" fontId="28" fillId="36" borderId="16" xfId="0" applyFont="1" applyFill="1" applyBorder="1" applyAlignment="1">
      <alignment horizontal="center" vertical="center"/>
    </xf>
    <xf numFmtId="0" fontId="28" fillId="36" borderId="17" xfId="0" applyFont="1" applyFill="1" applyBorder="1" applyAlignment="1">
      <alignment horizontal="center" vertical="center"/>
    </xf>
    <xf numFmtId="0" fontId="28" fillId="36" borderId="18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3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70" fillId="0" borderId="22" xfId="0" applyFont="1" applyBorder="1"/>
    <xf numFmtId="0" fontId="70" fillId="0" borderId="23" xfId="0" applyFont="1" applyBorder="1"/>
    <xf numFmtId="3" fontId="5" fillId="35" borderId="37" xfId="0" applyNumberFormat="1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3" fontId="71" fillId="35" borderId="37" xfId="0" applyNumberFormat="1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3" fillId="35" borderId="37" xfId="0" applyFont="1" applyFill="1" applyBorder="1" applyAlignment="1">
      <alignment horizontal="center" vertical="center"/>
    </xf>
    <xf numFmtId="0" fontId="70" fillId="35" borderId="22" xfId="0" applyFont="1" applyFill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70" fillId="35" borderId="23" xfId="0" applyFont="1" applyFill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70" fillId="35" borderId="37" xfId="0" applyFont="1" applyFill="1" applyBorder="1" applyAlignment="1">
      <alignment horizontal="center" vertical="center"/>
    </xf>
    <xf numFmtId="0" fontId="0" fillId="35" borderId="33" xfId="0" applyFill="1" applyBorder="1" applyAlignment="1">
      <alignment horizontal="center" vertical="center"/>
    </xf>
    <xf numFmtId="0" fontId="70" fillId="35" borderId="37" xfId="0" applyFont="1" applyFill="1" applyBorder="1" applyAlignment="1">
      <alignment horizontal="left" vertical="center"/>
    </xf>
    <xf numFmtId="0" fontId="0" fillId="0" borderId="33" xfId="0" applyBorder="1" applyAlignment="1">
      <alignment horizontal="left" vertical="center"/>
    </xf>
  </cellXfs>
  <cellStyles count="280">
    <cellStyle name="20% - Accent1" xfId="1" builtinId="30" customBuiltin="1"/>
    <cellStyle name="20% - Accent1 2" xfId="199" xr:uid="{00000000-0005-0000-0000-000001000000}"/>
    <cellStyle name="20% - Accent1 2 2" xfId="46" xr:uid="{00000000-0005-0000-0000-000002000000}"/>
    <cellStyle name="20% - Accent1 3 2" xfId="47" xr:uid="{00000000-0005-0000-0000-000003000000}"/>
    <cellStyle name="20% - Accent2" xfId="2" builtinId="34" customBuiltin="1"/>
    <cellStyle name="20% - Accent2 2" xfId="200" xr:uid="{00000000-0005-0000-0000-000005000000}"/>
    <cellStyle name="20% - Accent2 2 2" xfId="48" xr:uid="{00000000-0005-0000-0000-000006000000}"/>
    <cellStyle name="20% - Accent2 3 2" xfId="49" xr:uid="{00000000-0005-0000-0000-000007000000}"/>
    <cellStyle name="20% - Accent3" xfId="3" builtinId="38" customBuiltin="1"/>
    <cellStyle name="20% - Accent3 2" xfId="201" xr:uid="{00000000-0005-0000-0000-000009000000}"/>
    <cellStyle name="20% - Accent3 2 2" xfId="50" xr:uid="{00000000-0005-0000-0000-00000A000000}"/>
    <cellStyle name="20% - Accent3 3 2" xfId="51" xr:uid="{00000000-0005-0000-0000-00000B000000}"/>
    <cellStyle name="20% - Accent4" xfId="4" builtinId="42" customBuiltin="1"/>
    <cellStyle name="20% - Accent4 2" xfId="202" xr:uid="{00000000-0005-0000-0000-00000D000000}"/>
    <cellStyle name="20% - Accent4 2 2" xfId="52" xr:uid="{00000000-0005-0000-0000-00000E000000}"/>
    <cellStyle name="20% - Accent4 3 2" xfId="53" xr:uid="{00000000-0005-0000-0000-00000F000000}"/>
    <cellStyle name="20% - Accent5" xfId="5" builtinId="46" customBuiltin="1"/>
    <cellStyle name="20% - Accent5 2" xfId="203" xr:uid="{00000000-0005-0000-0000-000011000000}"/>
    <cellStyle name="20% - Accent5 2 2" xfId="54" xr:uid="{00000000-0005-0000-0000-000012000000}"/>
    <cellStyle name="20% - Accent5 3 2" xfId="55" xr:uid="{00000000-0005-0000-0000-000013000000}"/>
    <cellStyle name="20% - Accent6" xfId="6" builtinId="50" customBuiltin="1"/>
    <cellStyle name="20% - Accent6 2" xfId="204" xr:uid="{00000000-0005-0000-0000-000015000000}"/>
    <cellStyle name="20% - Accent6 2 2" xfId="56" xr:uid="{00000000-0005-0000-0000-000016000000}"/>
    <cellStyle name="20% - Accent6 3 2" xfId="57" xr:uid="{00000000-0005-0000-0000-000017000000}"/>
    <cellStyle name="40% - Accent1" xfId="7" builtinId="31" customBuiltin="1"/>
    <cellStyle name="40% - Accent1 2" xfId="205" xr:uid="{00000000-0005-0000-0000-000019000000}"/>
    <cellStyle name="40% - Accent1 2 2" xfId="58" xr:uid="{00000000-0005-0000-0000-00001A000000}"/>
    <cellStyle name="40% - Accent1 3 2" xfId="59" xr:uid="{00000000-0005-0000-0000-00001B000000}"/>
    <cellStyle name="40% - Accent2" xfId="8" builtinId="35" customBuiltin="1"/>
    <cellStyle name="40% - Accent2 2" xfId="206" xr:uid="{00000000-0005-0000-0000-00001D000000}"/>
    <cellStyle name="40% - Accent2 2 2" xfId="60" xr:uid="{00000000-0005-0000-0000-00001E000000}"/>
    <cellStyle name="40% - Accent2 3 2" xfId="61" xr:uid="{00000000-0005-0000-0000-00001F000000}"/>
    <cellStyle name="40% - Accent3" xfId="9" builtinId="39" customBuiltin="1"/>
    <cellStyle name="40% - Accent3 2" xfId="207" xr:uid="{00000000-0005-0000-0000-000021000000}"/>
    <cellStyle name="40% - Accent3 2 2" xfId="62" xr:uid="{00000000-0005-0000-0000-000022000000}"/>
    <cellStyle name="40% - Accent3 3 2" xfId="63" xr:uid="{00000000-0005-0000-0000-000023000000}"/>
    <cellStyle name="40% - Accent4" xfId="10" builtinId="43" customBuiltin="1"/>
    <cellStyle name="40% - Accent4 2" xfId="208" xr:uid="{00000000-0005-0000-0000-000025000000}"/>
    <cellStyle name="40% - Accent4 2 2" xfId="64" xr:uid="{00000000-0005-0000-0000-000026000000}"/>
    <cellStyle name="40% - Accent4 3 2" xfId="65" xr:uid="{00000000-0005-0000-0000-000027000000}"/>
    <cellStyle name="40% - Accent5" xfId="11" builtinId="47" customBuiltin="1"/>
    <cellStyle name="40% - Accent5 2" xfId="209" xr:uid="{00000000-0005-0000-0000-000029000000}"/>
    <cellStyle name="40% - Accent5 2 2" xfId="66" xr:uid="{00000000-0005-0000-0000-00002A000000}"/>
    <cellStyle name="40% - Accent5 3 2" xfId="67" xr:uid="{00000000-0005-0000-0000-00002B000000}"/>
    <cellStyle name="40% - Accent6" xfId="12" builtinId="51" customBuiltin="1"/>
    <cellStyle name="40% - Accent6 2" xfId="210" xr:uid="{00000000-0005-0000-0000-00002D000000}"/>
    <cellStyle name="40% - Accent6 2 2" xfId="68" xr:uid="{00000000-0005-0000-0000-00002E000000}"/>
    <cellStyle name="40% - Accent6 3 2" xfId="69" xr:uid="{00000000-0005-0000-0000-00002F000000}"/>
    <cellStyle name="60% - Accent1" xfId="13" builtinId="32" customBuiltin="1"/>
    <cellStyle name="60% - Accent1 2" xfId="211" xr:uid="{00000000-0005-0000-0000-000031000000}"/>
    <cellStyle name="60% - Accent1 2 2" xfId="70" xr:uid="{00000000-0005-0000-0000-000032000000}"/>
    <cellStyle name="60% - Accent1 3" xfId="242" xr:uid="{00000000-0005-0000-0000-000033000000}"/>
    <cellStyle name="60% - Accent1 3 2" xfId="71" xr:uid="{00000000-0005-0000-0000-000034000000}"/>
    <cellStyle name="60% - Accent2" xfId="14" builtinId="36" customBuiltin="1"/>
    <cellStyle name="60% - Accent2 2" xfId="212" xr:uid="{00000000-0005-0000-0000-000036000000}"/>
    <cellStyle name="60% - Accent2 2 2" xfId="72" xr:uid="{00000000-0005-0000-0000-000037000000}"/>
    <cellStyle name="60% - Accent2 3" xfId="243" xr:uid="{00000000-0005-0000-0000-000038000000}"/>
    <cellStyle name="60% - Accent2 3 2" xfId="73" xr:uid="{00000000-0005-0000-0000-000039000000}"/>
    <cellStyle name="60% - Accent3" xfId="15" builtinId="40" customBuiltin="1"/>
    <cellStyle name="60% - Accent3 2" xfId="213" xr:uid="{00000000-0005-0000-0000-00003B000000}"/>
    <cellStyle name="60% - Accent3 2 2" xfId="74" xr:uid="{00000000-0005-0000-0000-00003C000000}"/>
    <cellStyle name="60% - Accent3 3" xfId="244" xr:uid="{00000000-0005-0000-0000-00003D000000}"/>
    <cellStyle name="60% - Accent3 3 2" xfId="75" xr:uid="{00000000-0005-0000-0000-00003E000000}"/>
    <cellStyle name="60% - Accent4" xfId="16" builtinId="44" customBuiltin="1"/>
    <cellStyle name="60% - Accent4 2" xfId="214" xr:uid="{00000000-0005-0000-0000-000040000000}"/>
    <cellStyle name="60% - Accent4 2 2" xfId="76" xr:uid="{00000000-0005-0000-0000-000041000000}"/>
    <cellStyle name="60% - Accent4 3" xfId="245" xr:uid="{00000000-0005-0000-0000-000042000000}"/>
    <cellStyle name="60% - Accent4 3 2" xfId="77" xr:uid="{00000000-0005-0000-0000-000043000000}"/>
    <cellStyle name="60% - Accent5" xfId="17" builtinId="48" customBuiltin="1"/>
    <cellStyle name="60% - Accent5 2" xfId="215" xr:uid="{00000000-0005-0000-0000-000045000000}"/>
    <cellStyle name="60% - Accent5 2 2" xfId="78" xr:uid="{00000000-0005-0000-0000-000046000000}"/>
    <cellStyle name="60% - Accent5 3" xfId="246" xr:uid="{00000000-0005-0000-0000-000047000000}"/>
    <cellStyle name="60% - Accent5 3 2" xfId="79" xr:uid="{00000000-0005-0000-0000-000048000000}"/>
    <cellStyle name="60% - Accent6" xfId="18" builtinId="52" customBuiltin="1"/>
    <cellStyle name="60% - Accent6 2" xfId="216" xr:uid="{00000000-0005-0000-0000-00004A000000}"/>
    <cellStyle name="60% - Accent6 2 2" xfId="80" xr:uid="{00000000-0005-0000-0000-00004B000000}"/>
    <cellStyle name="60% - Accent6 3" xfId="247" xr:uid="{00000000-0005-0000-0000-00004C000000}"/>
    <cellStyle name="60% - Accent6 3 2" xfId="81" xr:uid="{00000000-0005-0000-0000-00004D000000}"/>
    <cellStyle name="Accent1" xfId="19" builtinId="29" customBuiltin="1"/>
    <cellStyle name="Accent1 2" xfId="217" xr:uid="{00000000-0005-0000-0000-00004F000000}"/>
    <cellStyle name="Accent1 2 2" xfId="82" xr:uid="{00000000-0005-0000-0000-000050000000}"/>
    <cellStyle name="Accent1 3 2" xfId="83" xr:uid="{00000000-0005-0000-0000-000051000000}"/>
    <cellStyle name="Accent2" xfId="20" builtinId="33" customBuiltin="1"/>
    <cellStyle name="Accent2 2" xfId="218" xr:uid="{00000000-0005-0000-0000-000053000000}"/>
    <cellStyle name="Accent2 2 2" xfId="84" xr:uid="{00000000-0005-0000-0000-000054000000}"/>
    <cellStyle name="Accent2 3 2" xfId="85" xr:uid="{00000000-0005-0000-0000-000055000000}"/>
    <cellStyle name="Accent3" xfId="21" builtinId="37" customBuiltin="1"/>
    <cellStyle name="Accent3 2" xfId="219" xr:uid="{00000000-0005-0000-0000-000057000000}"/>
    <cellStyle name="Accent3 2 2" xfId="86" xr:uid="{00000000-0005-0000-0000-000058000000}"/>
    <cellStyle name="Accent3 3 2" xfId="87" xr:uid="{00000000-0005-0000-0000-000059000000}"/>
    <cellStyle name="Accent4" xfId="22" builtinId="41" customBuiltin="1"/>
    <cellStyle name="Accent4 2" xfId="220" xr:uid="{00000000-0005-0000-0000-00005B000000}"/>
    <cellStyle name="Accent4 2 2" xfId="88" xr:uid="{00000000-0005-0000-0000-00005C000000}"/>
    <cellStyle name="Accent4 3 2" xfId="89" xr:uid="{00000000-0005-0000-0000-00005D000000}"/>
    <cellStyle name="Accent5" xfId="23" builtinId="45" customBuiltin="1"/>
    <cellStyle name="Accent5 2" xfId="221" xr:uid="{00000000-0005-0000-0000-00005F000000}"/>
    <cellStyle name="Accent5 2 2" xfId="90" xr:uid="{00000000-0005-0000-0000-000060000000}"/>
    <cellStyle name="Accent5 3 2" xfId="91" xr:uid="{00000000-0005-0000-0000-000061000000}"/>
    <cellStyle name="Accent6" xfId="24" builtinId="49" customBuiltin="1"/>
    <cellStyle name="Accent6 2" xfId="222" xr:uid="{00000000-0005-0000-0000-000063000000}"/>
    <cellStyle name="Accent6 2 2" xfId="92" xr:uid="{00000000-0005-0000-0000-000064000000}"/>
    <cellStyle name="Accent6 3 2" xfId="93" xr:uid="{00000000-0005-0000-0000-000065000000}"/>
    <cellStyle name="Bad" xfId="25" builtinId="27" customBuiltin="1"/>
    <cellStyle name="Bad 2" xfId="223" xr:uid="{00000000-0005-0000-0000-000067000000}"/>
    <cellStyle name="Bad 2 2" xfId="94" xr:uid="{00000000-0005-0000-0000-000068000000}"/>
    <cellStyle name="Bad 3 2" xfId="95" xr:uid="{00000000-0005-0000-0000-000069000000}"/>
    <cellStyle name="Calc Currency (0)" xfId="96" xr:uid="{00000000-0005-0000-0000-00006A000000}"/>
    <cellStyle name="Calculation" xfId="26" builtinId="22" customBuiltin="1"/>
    <cellStyle name="Calculation 2" xfId="224" xr:uid="{00000000-0005-0000-0000-00006C000000}"/>
    <cellStyle name="Calculation 2 2" xfId="97" xr:uid="{00000000-0005-0000-0000-00006D000000}"/>
    <cellStyle name="Calculation 3 2" xfId="98" xr:uid="{00000000-0005-0000-0000-00006E000000}"/>
    <cellStyle name="Check Cell" xfId="27" builtinId="23" customBuiltin="1"/>
    <cellStyle name="Check Cell 2" xfId="225" xr:uid="{00000000-0005-0000-0000-000070000000}"/>
    <cellStyle name="Check Cell 2 2" xfId="99" xr:uid="{00000000-0005-0000-0000-000071000000}"/>
    <cellStyle name="Check Cell 3 2" xfId="100" xr:uid="{00000000-0005-0000-0000-000072000000}"/>
    <cellStyle name="Comma" xfId="28" builtinId="3"/>
    <cellStyle name="Comma 10" xfId="254" xr:uid="{03331E63-D4F4-4325-AD86-EF9D1852024E}"/>
    <cellStyle name="Comma 10 2" xfId="271" xr:uid="{887979E3-E1A4-46BC-B1FE-B0B8F3690116}"/>
    <cellStyle name="Comma 11" xfId="262" xr:uid="{D063E75B-E10A-4C7F-9041-59457AFBC8B5}"/>
    <cellStyle name="Comma 11 2" xfId="279" xr:uid="{F73C1200-7587-4962-A356-BE8B33CEF203}"/>
    <cellStyle name="Comma 12" xfId="263" xr:uid="{A302B031-CF06-4F24-BD02-8A5897B87F43}"/>
    <cellStyle name="Comma 2" xfId="44" xr:uid="{00000000-0005-0000-0000-000074000000}"/>
    <cellStyle name="Comma 2 2" xfId="102" xr:uid="{00000000-0005-0000-0000-000075000000}"/>
    <cellStyle name="Comma 2 3" xfId="103" xr:uid="{00000000-0005-0000-0000-000076000000}"/>
    <cellStyle name="Comma 2 4" xfId="250" xr:uid="{A9E1EB41-54AA-4AAD-893E-0C7745CF2FFF}"/>
    <cellStyle name="Comma 2 4 2" xfId="258" xr:uid="{C7310A16-FD2D-4A84-862B-8445BCD3CB7C}"/>
    <cellStyle name="Comma 2 4 2 2" xfId="275" xr:uid="{35F1ABE6-1701-4D0A-8D36-FAAF2D8EA7CC}"/>
    <cellStyle name="Comma 2 4 3" xfId="267" xr:uid="{612E1734-F72D-4950-86CF-42FFC8C49A7D}"/>
    <cellStyle name="Comma 2 5" xfId="255" xr:uid="{BB584E57-BC61-4A1F-A408-73ABEB11BE9F}"/>
    <cellStyle name="Comma 2 5 2" xfId="272" xr:uid="{15E9E525-00E0-4521-A06B-E199C2EA474F}"/>
    <cellStyle name="Comma 2 6" xfId="264" xr:uid="{7A0F29A8-A657-4EBC-961C-29105E3BB3BB}"/>
    <cellStyle name="Comma 3" xfId="101" xr:uid="{00000000-0005-0000-0000-000077000000}"/>
    <cellStyle name="Comma 3 2" xfId="251" xr:uid="{A73FA593-016D-4FC0-B523-B779713003C2}"/>
    <cellStyle name="Comma 3 2 2" xfId="259" xr:uid="{1179608D-FF2E-4CBA-BD38-0968C14C3CC5}"/>
    <cellStyle name="Comma 3 2 2 2" xfId="276" xr:uid="{30B111D7-D1FD-43D5-84F2-920F6C252C81}"/>
    <cellStyle name="Comma 3 2 3" xfId="268" xr:uid="{CEBACA6B-E13E-4E98-8499-56DFDEC2876C}"/>
    <cellStyle name="Comma 3 3" xfId="256" xr:uid="{82E3A5FD-FD9F-4BB9-91AB-47F463EDE9E2}"/>
    <cellStyle name="Comma 3 3 2" xfId="273" xr:uid="{255FC3C5-E6B3-4D95-9685-558173DBAA1C}"/>
    <cellStyle name="Comma 3 4" xfId="265" xr:uid="{0A4FC49D-9CF2-4A65-8E7C-56A7CA7B9311}"/>
    <cellStyle name="Comma 4" xfId="104" xr:uid="{00000000-0005-0000-0000-000078000000}"/>
    <cellStyle name="Comma 4 2" xfId="252" xr:uid="{03DB2A7E-DE0A-455A-8314-829A028A62FA}"/>
    <cellStyle name="Comma 4 2 2" xfId="260" xr:uid="{A67D9DE2-6196-446A-B1CA-36D605C78066}"/>
    <cellStyle name="Comma 4 2 2 2" xfId="277" xr:uid="{5EB5B6D9-4923-4D66-A7C8-42AD229B2732}"/>
    <cellStyle name="Comma 4 2 3" xfId="269" xr:uid="{A31C7DEB-CAE2-4F92-9BCF-2E43462DFCFB}"/>
    <cellStyle name="Comma 5" xfId="105" xr:uid="{00000000-0005-0000-0000-000079000000}"/>
    <cellStyle name="Comma 5 2" xfId="106" xr:uid="{00000000-0005-0000-0000-00007A000000}"/>
    <cellStyle name="Comma 5 3" xfId="253" xr:uid="{0C2A2673-8239-4465-A346-7F8D477EE35A}"/>
    <cellStyle name="Comma 5 3 2" xfId="261" xr:uid="{22E33868-DC81-41B2-AD56-1354DF72151F}"/>
    <cellStyle name="Comma 5 3 2 2" xfId="278" xr:uid="{AEDCF61F-5C5B-4061-8D78-976CE0F2E0CC}"/>
    <cellStyle name="Comma 5 3 3" xfId="270" xr:uid="{1A5DB8B6-2232-4E5C-B55C-EC1DCE660E52}"/>
    <cellStyle name="Comma 6" xfId="107" xr:uid="{00000000-0005-0000-0000-00007B000000}"/>
    <cellStyle name="Comma 7" xfId="108" xr:uid="{00000000-0005-0000-0000-00007C000000}"/>
    <cellStyle name="Comma 8" xfId="109" xr:uid="{00000000-0005-0000-0000-00007D000000}"/>
    <cellStyle name="Comma 9" xfId="249" xr:uid="{12E26116-C463-4D26-99D8-537EF284C7DB}"/>
    <cellStyle name="Comma 9 2" xfId="257" xr:uid="{ECE62F8B-7280-4F9B-A01F-467ED511ABA2}"/>
    <cellStyle name="Comma 9 2 2" xfId="274" xr:uid="{63698F4B-EB78-4724-8E23-10F6C773DE3A}"/>
    <cellStyle name="Comma 9 3" xfId="266" xr:uid="{EDFD2218-19A0-451C-9937-5768C3736B8F}"/>
    <cellStyle name="Explanatory Text" xfId="29" builtinId="53" customBuiltin="1"/>
    <cellStyle name="Explanatory Text 2" xfId="226" xr:uid="{00000000-0005-0000-0000-00007F000000}"/>
    <cellStyle name="Explanatory Text 2 2" xfId="110" xr:uid="{00000000-0005-0000-0000-000080000000}"/>
    <cellStyle name="Explanatory Text 3 2" xfId="111" xr:uid="{00000000-0005-0000-0000-000081000000}"/>
    <cellStyle name="Good" xfId="30" builtinId="26" customBuiltin="1"/>
    <cellStyle name="Good 2" xfId="227" xr:uid="{00000000-0005-0000-0000-000083000000}"/>
    <cellStyle name="Good 2 2" xfId="112" xr:uid="{00000000-0005-0000-0000-000084000000}"/>
    <cellStyle name="Good 3 2" xfId="113" xr:uid="{00000000-0005-0000-0000-000085000000}"/>
    <cellStyle name="Grey" xfId="114" xr:uid="{00000000-0005-0000-0000-000086000000}"/>
    <cellStyle name="Header1" xfId="115" xr:uid="{00000000-0005-0000-0000-000087000000}"/>
    <cellStyle name="Header2" xfId="116" xr:uid="{00000000-0005-0000-0000-000088000000}"/>
    <cellStyle name="Heading 1" xfId="31" builtinId="16" customBuiltin="1"/>
    <cellStyle name="Heading 1 2" xfId="228" xr:uid="{00000000-0005-0000-0000-00008A000000}"/>
    <cellStyle name="Heading 1 2 2" xfId="117" xr:uid="{00000000-0005-0000-0000-00008B000000}"/>
    <cellStyle name="Heading 1 3 2" xfId="118" xr:uid="{00000000-0005-0000-0000-00008C000000}"/>
    <cellStyle name="Heading 2" xfId="32" builtinId="17" customBuiltin="1"/>
    <cellStyle name="Heading 2 2" xfId="229" xr:uid="{00000000-0005-0000-0000-00008E000000}"/>
    <cellStyle name="Heading 2 2 2" xfId="119" xr:uid="{00000000-0005-0000-0000-00008F000000}"/>
    <cellStyle name="Heading 2 3 2" xfId="120" xr:uid="{00000000-0005-0000-0000-000090000000}"/>
    <cellStyle name="Heading 3" xfId="33" builtinId="18" customBuiltin="1"/>
    <cellStyle name="Heading 3 2" xfId="230" xr:uid="{00000000-0005-0000-0000-000092000000}"/>
    <cellStyle name="Heading 3 2 2" xfId="121" xr:uid="{00000000-0005-0000-0000-000093000000}"/>
    <cellStyle name="Heading 3 3 2" xfId="122" xr:uid="{00000000-0005-0000-0000-000094000000}"/>
    <cellStyle name="Heading 4" xfId="34" builtinId="19" customBuiltin="1"/>
    <cellStyle name="Heading 4 2" xfId="231" xr:uid="{00000000-0005-0000-0000-000096000000}"/>
    <cellStyle name="Heading 4 2 2" xfId="123" xr:uid="{00000000-0005-0000-0000-000097000000}"/>
    <cellStyle name="Heading 4 3 2" xfId="124" xr:uid="{00000000-0005-0000-0000-000098000000}"/>
    <cellStyle name="Hyperlink" xfId="45" builtinId="8"/>
    <cellStyle name="Input" xfId="35" builtinId="20" customBuiltin="1"/>
    <cellStyle name="Input [yellow]" xfId="125" xr:uid="{00000000-0005-0000-0000-00009B000000}"/>
    <cellStyle name="Input 2" xfId="232" xr:uid="{00000000-0005-0000-0000-00009C000000}"/>
    <cellStyle name="Input 2 2" xfId="126" xr:uid="{00000000-0005-0000-0000-00009D000000}"/>
    <cellStyle name="Input 3" xfId="233" xr:uid="{00000000-0005-0000-0000-00009E000000}"/>
    <cellStyle name="Input 3 2" xfId="127" xr:uid="{00000000-0005-0000-0000-00009F000000}"/>
    <cellStyle name="Input 4" xfId="234" xr:uid="{00000000-0005-0000-0000-0000A0000000}"/>
    <cellStyle name="Linked Cell" xfId="36" builtinId="24" customBuiltin="1"/>
    <cellStyle name="Linked Cell 2" xfId="235" xr:uid="{00000000-0005-0000-0000-0000A2000000}"/>
    <cellStyle name="Linked Cell 2 2" xfId="128" xr:uid="{00000000-0005-0000-0000-0000A3000000}"/>
    <cellStyle name="Linked Cell 3 2" xfId="129" xr:uid="{00000000-0005-0000-0000-0000A4000000}"/>
    <cellStyle name="Milliers [0]_AR1194" xfId="130" xr:uid="{00000000-0005-0000-0000-0000A5000000}"/>
    <cellStyle name="Milliers_AR1194" xfId="131" xr:uid="{00000000-0005-0000-0000-0000A6000000}"/>
    <cellStyle name="Moeda [0]_aola" xfId="132" xr:uid="{00000000-0005-0000-0000-0000A7000000}"/>
    <cellStyle name="Moeda_aola" xfId="133" xr:uid="{00000000-0005-0000-0000-0000A8000000}"/>
    <cellStyle name="Mon騁aire [0]_AR1194" xfId="134" xr:uid="{00000000-0005-0000-0000-0000A9000000}"/>
    <cellStyle name="Mon騁aire_AR1194" xfId="135" xr:uid="{00000000-0005-0000-0000-0000AA000000}"/>
    <cellStyle name="Neutral" xfId="37" builtinId="28" customBuiltin="1"/>
    <cellStyle name="Neutral 2" xfId="236" xr:uid="{00000000-0005-0000-0000-0000AC000000}"/>
    <cellStyle name="Neutral 2 2" xfId="136" xr:uid="{00000000-0005-0000-0000-0000AD000000}"/>
    <cellStyle name="Neutral 3" xfId="248" xr:uid="{00000000-0005-0000-0000-0000AE000000}"/>
    <cellStyle name="Neutral 3 2" xfId="137" xr:uid="{00000000-0005-0000-0000-0000AF000000}"/>
    <cellStyle name="Normal" xfId="0" builtinId="0"/>
    <cellStyle name="Normal - Style1" xfId="138" xr:uid="{00000000-0005-0000-0000-0000B1000000}"/>
    <cellStyle name="Normal 10" xfId="139" xr:uid="{00000000-0005-0000-0000-0000B2000000}"/>
    <cellStyle name="Normal 11" xfId="140" xr:uid="{00000000-0005-0000-0000-0000B3000000}"/>
    <cellStyle name="Normal 12_รายการที่8.REINF ASSY HOODLEDGE RH, LH" xfId="141" xr:uid="{00000000-0005-0000-0000-0000B4000000}"/>
    <cellStyle name="Normal 14" xfId="142" xr:uid="{00000000-0005-0000-0000-0000B5000000}"/>
    <cellStyle name="Normal 14 2" xfId="143" xr:uid="{00000000-0005-0000-0000-0000B6000000}"/>
    <cellStyle name="Normal 15" xfId="144" xr:uid="{00000000-0005-0000-0000-0000B7000000}"/>
    <cellStyle name="Normal 15 2" xfId="145" xr:uid="{00000000-0005-0000-0000-0000B8000000}"/>
    <cellStyle name="Normal 19" xfId="146" xr:uid="{00000000-0005-0000-0000-0000B9000000}"/>
    <cellStyle name="Normal 19 2" xfId="147" xr:uid="{00000000-0005-0000-0000-0000BA000000}"/>
    <cellStyle name="Normal 2" xfId="38" xr:uid="{00000000-0005-0000-0000-0000BB000000}"/>
    <cellStyle name="Normal 2 2" xfId="148" xr:uid="{00000000-0005-0000-0000-0000BC000000}"/>
    <cellStyle name="Normal 2 2 2" xfId="149" xr:uid="{00000000-0005-0000-0000-0000BD000000}"/>
    <cellStyle name="Normal 2 3" xfId="150" xr:uid="{00000000-0005-0000-0000-0000BE000000}"/>
    <cellStyle name="Normal 20" xfId="151" xr:uid="{00000000-0005-0000-0000-0000BF000000}"/>
    <cellStyle name="Normal 20 2" xfId="152" xr:uid="{00000000-0005-0000-0000-0000C0000000}"/>
    <cellStyle name="Normal 25" xfId="153" xr:uid="{00000000-0005-0000-0000-0000C1000000}"/>
    <cellStyle name="Normal 25 2" xfId="154" xr:uid="{00000000-0005-0000-0000-0000C2000000}"/>
    <cellStyle name="Normal 26" xfId="155" xr:uid="{00000000-0005-0000-0000-0000C3000000}"/>
    <cellStyle name="Normal 26 2" xfId="156" xr:uid="{00000000-0005-0000-0000-0000C4000000}"/>
    <cellStyle name="Normal 27" xfId="157" xr:uid="{00000000-0005-0000-0000-0000C5000000}"/>
    <cellStyle name="Normal 27 2" xfId="158" xr:uid="{00000000-0005-0000-0000-0000C6000000}"/>
    <cellStyle name="Normal 28" xfId="159" xr:uid="{00000000-0005-0000-0000-0000C7000000}"/>
    <cellStyle name="Normal 28 2" xfId="160" xr:uid="{00000000-0005-0000-0000-0000C8000000}"/>
    <cellStyle name="Normal 29" xfId="161" xr:uid="{00000000-0005-0000-0000-0000C9000000}"/>
    <cellStyle name="Normal 29 2" xfId="162" xr:uid="{00000000-0005-0000-0000-0000CA000000}"/>
    <cellStyle name="Normal 3" xfId="163" xr:uid="{00000000-0005-0000-0000-0000CB000000}"/>
    <cellStyle name="Normal 3 2" xfId="164" xr:uid="{00000000-0005-0000-0000-0000CC000000}"/>
    <cellStyle name="Normal 4" xfId="165" xr:uid="{00000000-0005-0000-0000-0000CD000000}"/>
    <cellStyle name="Normal 4 2" xfId="166" xr:uid="{00000000-0005-0000-0000-0000CE000000}"/>
    <cellStyle name="Normal 5" xfId="167" xr:uid="{00000000-0005-0000-0000-0000CF000000}"/>
    <cellStyle name="Normal 5 2" xfId="168" xr:uid="{00000000-0005-0000-0000-0000D0000000}"/>
    <cellStyle name="Normal 6" xfId="169" xr:uid="{00000000-0005-0000-0000-0000D1000000}"/>
    <cellStyle name="Normal 6 2" xfId="170" xr:uid="{00000000-0005-0000-0000-0000D2000000}"/>
    <cellStyle name="Normal 7" xfId="171" xr:uid="{00000000-0005-0000-0000-0000D3000000}"/>
    <cellStyle name="Normal 7 2" xfId="172" xr:uid="{00000000-0005-0000-0000-0000D4000000}"/>
    <cellStyle name="Normal 8" xfId="173" xr:uid="{00000000-0005-0000-0000-0000D5000000}"/>
    <cellStyle name="Normal 8 2" xfId="174" xr:uid="{00000000-0005-0000-0000-0000D6000000}"/>
    <cellStyle name="Normal 9" xfId="175" xr:uid="{00000000-0005-0000-0000-0000D7000000}"/>
    <cellStyle name="Normal 9 2" xfId="176" xr:uid="{00000000-0005-0000-0000-0000D8000000}"/>
    <cellStyle name="Note" xfId="39" builtinId="10" customBuiltin="1"/>
    <cellStyle name="Note 2" xfId="237" xr:uid="{00000000-0005-0000-0000-0000DA000000}"/>
    <cellStyle name="Note 2 2" xfId="177" xr:uid="{00000000-0005-0000-0000-0000DB000000}"/>
    <cellStyle name="Note 3 2" xfId="178" xr:uid="{00000000-0005-0000-0000-0000DC000000}"/>
    <cellStyle name="Output" xfId="40" builtinId="21" customBuiltin="1"/>
    <cellStyle name="Output 2" xfId="238" xr:uid="{00000000-0005-0000-0000-0000DE000000}"/>
    <cellStyle name="Output 2 2" xfId="179" xr:uid="{00000000-0005-0000-0000-0000DF000000}"/>
    <cellStyle name="Output 3 2" xfId="180" xr:uid="{00000000-0005-0000-0000-0000E0000000}"/>
    <cellStyle name="Percent [2]" xfId="181" xr:uid="{00000000-0005-0000-0000-0000E1000000}"/>
    <cellStyle name="Separador de milhares [0]_Person" xfId="182" xr:uid="{00000000-0005-0000-0000-0000E2000000}"/>
    <cellStyle name="Separador de milhares_Person" xfId="183" xr:uid="{00000000-0005-0000-0000-0000E3000000}"/>
    <cellStyle name="Standard_Frontal Airbag Blatt 1" xfId="184" xr:uid="{00000000-0005-0000-0000-0000E4000000}"/>
    <cellStyle name="Title" xfId="41" builtinId="15" customBuiltin="1"/>
    <cellStyle name="Title 2" xfId="239" xr:uid="{00000000-0005-0000-0000-0000E6000000}"/>
    <cellStyle name="Total" xfId="42" builtinId="25" customBuiltin="1"/>
    <cellStyle name="Total 2" xfId="240" xr:uid="{00000000-0005-0000-0000-0000E8000000}"/>
    <cellStyle name="Total 2 2" xfId="185" xr:uid="{00000000-0005-0000-0000-0000E9000000}"/>
    <cellStyle name="Total 3 2" xfId="186" xr:uid="{00000000-0005-0000-0000-0000EA000000}"/>
    <cellStyle name="Warning Text" xfId="43" builtinId="11" customBuiltin="1"/>
    <cellStyle name="Warning Text 2" xfId="241" xr:uid="{00000000-0005-0000-0000-0000EC000000}"/>
    <cellStyle name="Warning Text 2 2" xfId="187" xr:uid="{00000000-0005-0000-0000-0000ED000000}"/>
    <cellStyle name="Warning Text 3 2" xfId="188" xr:uid="{00000000-0005-0000-0000-0000EE000000}"/>
    <cellStyle name="เครื่องหมายจุลภาค [0]_Person" xfId="189" xr:uid="{00000000-0005-0000-0000-0000EF000000}"/>
    <cellStyle name="เครื่องหมายจุลภาค_Person" xfId="190" xr:uid="{00000000-0005-0000-0000-0000F0000000}"/>
    <cellStyle name="เครื่องหมายสกุลเงิน [0]_Person" xfId="191" xr:uid="{00000000-0005-0000-0000-0000F1000000}"/>
    <cellStyle name="เครื่องหมายสกุลเงิน_Person" xfId="192" xr:uid="{00000000-0005-0000-0000-0000F2000000}"/>
    <cellStyle name="ปกติ_ASSEMBLY PARTS (COMPL) P-CAR 2WD,4WD(new)" xfId="193" xr:uid="{00000000-0005-0000-0000-0000F3000000}"/>
    <cellStyle name="桁区切り [0.00]_Person" xfId="194" xr:uid="{00000000-0005-0000-0000-0000F4000000}"/>
    <cellStyle name="桁区切り_Person" xfId="195" xr:uid="{00000000-0005-0000-0000-0000F5000000}"/>
    <cellStyle name="標準_~0014616" xfId="196" xr:uid="{00000000-0005-0000-0000-0000F6000000}"/>
    <cellStyle name="通貨 [0.00]_Book2 グラフ 2" xfId="197" xr:uid="{00000000-0005-0000-0000-0000F7000000}"/>
    <cellStyle name="通貨_Book2 グラフ 2" xfId="198" xr:uid="{00000000-0005-0000-0000-0000F8000000}"/>
  </cellStyles>
  <dxfs count="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44822</xdr:colOff>
      <xdr:row>0</xdr:row>
      <xdr:rowOff>100853</xdr:rowOff>
    </xdr:from>
    <xdr:to>
      <xdr:col>1</xdr:col>
      <xdr:colOff>11205</xdr:colOff>
      <xdr:row>2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7B498654-BD35-47D8-9ED0-C0281D924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2" y="100853"/>
          <a:ext cx="318808" cy="346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190500</xdr:colOff>
      <xdr:row>10</xdr:row>
      <xdr:rowOff>33617</xdr:rowOff>
    </xdr:from>
    <xdr:to>
      <xdr:col>16</xdr:col>
      <xdr:colOff>414618</xdr:colOff>
      <xdr:row>10</xdr:row>
      <xdr:rowOff>201705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A70F237-F102-44D2-A3C6-35E11F250936}"/>
            </a:ext>
          </a:extLst>
        </xdr:cNvPr>
        <xdr:cNvSpPr/>
      </xdr:nvSpPr>
      <xdr:spPr>
        <a:xfrm>
          <a:off x="13849350" y="18814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190499</xdr:colOff>
      <xdr:row>10</xdr:row>
      <xdr:rowOff>33617</xdr:rowOff>
    </xdr:from>
    <xdr:to>
      <xdr:col>17</xdr:col>
      <xdr:colOff>414617</xdr:colOff>
      <xdr:row>10</xdr:row>
      <xdr:rowOff>201705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FE3DE43-CB0B-4E5C-98A3-D6D7605D0DD1}"/>
            </a:ext>
          </a:extLst>
        </xdr:cNvPr>
        <xdr:cNvSpPr/>
      </xdr:nvSpPr>
      <xdr:spPr>
        <a:xfrm>
          <a:off x="14430374" y="18814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190500</xdr:colOff>
      <xdr:row>11</xdr:row>
      <xdr:rowOff>33617</xdr:rowOff>
    </xdr:from>
    <xdr:to>
      <xdr:col>16</xdr:col>
      <xdr:colOff>414618</xdr:colOff>
      <xdr:row>11</xdr:row>
      <xdr:rowOff>201705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823B86D-7615-420B-9849-3777D5B40D61}"/>
            </a:ext>
          </a:extLst>
        </xdr:cNvPr>
        <xdr:cNvSpPr/>
      </xdr:nvSpPr>
      <xdr:spPr>
        <a:xfrm>
          <a:off x="13849350" y="21195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190499</xdr:colOff>
      <xdr:row>11</xdr:row>
      <xdr:rowOff>33617</xdr:rowOff>
    </xdr:from>
    <xdr:to>
      <xdr:col>17</xdr:col>
      <xdr:colOff>414617</xdr:colOff>
      <xdr:row>11</xdr:row>
      <xdr:rowOff>201705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458E039-012A-4905-B22A-F67A558817A9}"/>
            </a:ext>
          </a:extLst>
        </xdr:cNvPr>
        <xdr:cNvSpPr/>
      </xdr:nvSpPr>
      <xdr:spPr>
        <a:xfrm>
          <a:off x="14430374" y="21195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190500</xdr:colOff>
      <xdr:row>12</xdr:row>
      <xdr:rowOff>33617</xdr:rowOff>
    </xdr:from>
    <xdr:to>
      <xdr:col>16</xdr:col>
      <xdr:colOff>414618</xdr:colOff>
      <xdr:row>12</xdr:row>
      <xdr:rowOff>201705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9077686-51F3-42F4-81A7-C237CA430C25}"/>
            </a:ext>
          </a:extLst>
        </xdr:cNvPr>
        <xdr:cNvSpPr/>
      </xdr:nvSpPr>
      <xdr:spPr>
        <a:xfrm>
          <a:off x="13849350" y="23577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190499</xdr:colOff>
      <xdr:row>12</xdr:row>
      <xdr:rowOff>33617</xdr:rowOff>
    </xdr:from>
    <xdr:to>
      <xdr:col>17</xdr:col>
      <xdr:colOff>414617</xdr:colOff>
      <xdr:row>12</xdr:row>
      <xdr:rowOff>201705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12B58EA-A5BB-4326-A8BA-4B5053BC960B}"/>
            </a:ext>
          </a:extLst>
        </xdr:cNvPr>
        <xdr:cNvSpPr/>
      </xdr:nvSpPr>
      <xdr:spPr>
        <a:xfrm>
          <a:off x="14430374" y="23577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190500</xdr:colOff>
      <xdr:row>13</xdr:row>
      <xdr:rowOff>33617</xdr:rowOff>
    </xdr:from>
    <xdr:to>
      <xdr:col>16</xdr:col>
      <xdr:colOff>414618</xdr:colOff>
      <xdr:row>13</xdr:row>
      <xdr:rowOff>201705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2775639-4460-4C25-A5DB-FE6723E2831B}"/>
            </a:ext>
          </a:extLst>
        </xdr:cNvPr>
        <xdr:cNvSpPr/>
      </xdr:nvSpPr>
      <xdr:spPr>
        <a:xfrm>
          <a:off x="13849350" y="259584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190499</xdr:colOff>
      <xdr:row>13</xdr:row>
      <xdr:rowOff>33617</xdr:rowOff>
    </xdr:from>
    <xdr:to>
      <xdr:col>17</xdr:col>
      <xdr:colOff>414617</xdr:colOff>
      <xdr:row>13</xdr:row>
      <xdr:rowOff>201705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A9A0545-D021-4911-ADE8-0DED44F5F66C}"/>
            </a:ext>
          </a:extLst>
        </xdr:cNvPr>
        <xdr:cNvSpPr/>
      </xdr:nvSpPr>
      <xdr:spPr>
        <a:xfrm>
          <a:off x="14430374" y="259584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190500</xdr:colOff>
      <xdr:row>14</xdr:row>
      <xdr:rowOff>44822</xdr:rowOff>
    </xdr:from>
    <xdr:to>
      <xdr:col>16</xdr:col>
      <xdr:colOff>414618</xdr:colOff>
      <xdr:row>14</xdr:row>
      <xdr:rowOff>212910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51059EB-9FA9-416C-BD29-B0FDE60B0F2D}"/>
            </a:ext>
          </a:extLst>
        </xdr:cNvPr>
        <xdr:cNvSpPr/>
      </xdr:nvSpPr>
      <xdr:spPr>
        <a:xfrm>
          <a:off x="13849350" y="284517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190499</xdr:colOff>
      <xdr:row>14</xdr:row>
      <xdr:rowOff>33617</xdr:rowOff>
    </xdr:from>
    <xdr:to>
      <xdr:col>17</xdr:col>
      <xdr:colOff>414617</xdr:colOff>
      <xdr:row>14</xdr:row>
      <xdr:rowOff>201705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ACDC23E-4F37-4596-8B52-30766F533587}"/>
            </a:ext>
          </a:extLst>
        </xdr:cNvPr>
        <xdr:cNvSpPr/>
      </xdr:nvSpPr>
      <xdr:spPr>
        <a:xfrm>
          <a:off x="14430374" y="28339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190500</xdr:colOff>
      <xdr:row>26</xdr:row>
      <xdr:rowOff>33617</xdr:rowOff>
    </xdr:from>
    <xdr:to>
      <xdr:col>16</xdr:col>
      <xdr:colOff>414618</xdr:colOff>
      <xdr:row>26</xdr:row>
      <xdr:rowOff>201705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6303217-601B-47B8-9E13-4AD5C3496CAB}"/>
            </a:ext>
          </a:extLst>
        </xdr:cNvPr>
        <xdr:cNvSpPr/>
      </xdr:nvSpPr>
      <xdr:spPr>
        <a:xfrm>
          <a:off x="13849350" y="56914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190499</xdr:colOff>
      <xdr:row>26</xdr:row>
      <xdr:rowOff>33617</xdr:rowOff>
    </xdr:from>
    <xdr:to>
      <xdr:col>17</xdr:col>
      <xdr:colOff>414617</xdr:colOff>
      <xdr:row>26</xdr:row>
      <xdr:rowOff>201705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D327BE2-E974-42F3-9F91-00F76DF72D86}"/>
            </a:ext>
          </a:extLst>
        </xdr:cNvPr>
        <xdr:cNvSpPr/>
      </xdr:nvSpPr>
      <xdr:spPr>
        <a:xfrm>
          <a:off x="14430374" y="56914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190500</xdr:colOff>
      <xdr:row>15</xdr:row>
      <xdr:rowOff>33617</xdr:rowOff>
    </xdr:from>
    <xdr:to>
      <xdr:col>16</xdr:col>
      <xdr:colOff>414618</xdr:colOff>
      <xdr:row>15</xdr:row>
      <xdr:rowOff>201705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BBCC174-5CC7-4D81-B1F1-F67AF169822A}"/>
            </a:ext>
          </a:extLst>
        </xdr:cNvPr>
        <xdr:cNvSpPr/>
      </xdr:nvSpPr>
      <xdr:spPr>
        <a:xfrm>
          <a:off x="13849350" y="30720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190499</xdr:colOff>
      <xdr:row>15</xdr:row>
      <xdr:rowOff>33617</xdr:rowOff>
    </xdr:from>
    <xdr:to>
      <xdr:col>17</xdr:col>
      <xdr:colOff>414617</xdr:colOff>
      <xdr:row>15</xdr:row>
      <xdr:rowOff>201705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B4D74C9-287E-4002-954B-42295B67DEB3}"/>
            </a:ext>
          </a:extLst>
        </xdr:cNvPr>
        <xdr:cNvSpPr/>
      </xdr:nvSpPr>
      <xdr:spPr>
        <a:xfrm>
          <a:off x="14430374" y="30720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190500</xdr:colOff>
      <xdr:row>16</xdr:row>
      <xdr:rowOff>33617</xdr:rowOff>
    </xdr:from>
    <xdr:to>
      <xdr:col>16</xdr:col>
      <xdr:colOff>414618</xdr:colOff>
      <xdr:row>16</xdr:row>
      <xdr:rowOff>201705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57ABCFE-FD29-48BC-96E4-EF38A314E217}"/>
            </a:ext>
          </a:extLst>
        </xdr:cNvPr>
        <xdr:cNvSpPr/>
      </xdr:nvSpPr>
      <xdr:spPr>
        <a:xfrm>
          <a:off x="13849350" y="33102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190499</xdr:colOff>
      <xdr:row>16</xdr:row>
      <xdr:rowOff>33617</xdr:rowOff>
    </xdr:from>
    <xdr:to>
      <xdr:col>17</xdr:col>
      <xdr:colOff>414617</xdr:colOff>
      <xdr:row>16</xdr:row>
      <xdr:rowOff>201705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7AAFB6F-C35C-4B47-9421-0EA45FDA6D1E}"/>
            </a:ext>
          </a:extLst>
        </xdr:cNvPr>
        <xdr:cNvSpPr/>
      </xdr:nvSpPr>
      <xdr:spPr>
        <a:xfrm>
          <a:off x="14430374" y="33102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190500</xdr:colOff>
      <xdr:row>18</xdr:row>
      <xdr:rowOff>33617</xdr:rowOff>
    </xdr:from>
    <xdr:to>
      <xdr:col>16</xdr:col>
      <xdr:colOff>414618</xdr:colOff>
      <xdr:row>18</xdr:row>
      <xdr:rowOff>201705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361646C-0CBC-4CA9-9E87-25D27F2409D2}"/>
            </a:ext>
          </a:extLst>
        </xdr:cNvPr>
        <xdr:cNvSpPr/>
      </xdr:nvSpPr>
      <xdr:spPr>
        <a:xfrm>
          <a:off x="13849350" y="37864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190499</xdr:colOff>
      <xdr:row>18</xdr:row>
      <xdr:rowOff>33617</xdr:rowOff>
    </xdr:from>
    <xdr:to>
      <xdr:col>17</xdr:col>
      <xdr:colOff>414617</xdr:colOff>
      <xdr:row>18</xdr:row>
      <xdr:rowOff>201705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36AC351-C333-4441-B247-23872B1E4541}"/>
            </a:ext>
          </a:extLst>
        </xdr:cNvPr>
        <xdr:cNvSpPr/>
      </xdr:nvSpPr>
      <xdr:spPr>
        <a:xfrm>
          <a:off x="14430374" y="37864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190500</xdr:colOff>
      <xdr:row>20</xdr:row>
      <xdr:rowOff>33617</xdr:rowOff>
    </xdr:from>
    <xdr:to>
      <xdr:col>16</xdr:col>
      <xdr:colOff>414618</xdr:colOff>
      <xdr:row>20</xdr:row>
      <xdr:rowOff>201705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A057958-E467-4443-AE1B-EC03DE9CABEE}"/>
            </a:ext>
          </a:extLst>
        </xdr:cNvPr>
        <xdr:cNvSpPr/>
      </xdr:nvSpPr>
      <xdr:spPr>
        <a:xfrm>
          <a:off x="13849350" y="42627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190499</xdr:colOff>
      <xdr:row>20</xdr:row>
      <xdr:rowOff>33617</xdr:rowOff>
    </xdr:from>
    <xdr:to>
      <xdr:col>17</xdr:col>
      <xdr:colOff>414617</xdr:colOff>
      <xdr:row>20</xdr:row>
      <xdr:rowOff>201705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8178155-F992-45FC-98E6-55CC410E2341}"/>
            </a:ext>
          </a:extLst>
        </xdr:cNvPr>
        <xdr:cNvSpPr/>
      </xdr:nvSpPr>
      <xdr:spPr>
        <a:xfrm>
          <a:off x="14430374" y="42627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190500</xdr:colOff>
      <xdr:row>22</xdr:row>
      <xdr:rowOff>33617</xdr:rowOff>
    </xdr:from>
    <xdr:to>
      <xdr:col>16</xdr:col>
      <xdr:colOff>414618</xdr:colOff>
      <xdr:row>22</xdr:row>
      <xdr:rowOff>201705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904BEC2-CF06-4364-9656-7124E1AC34AA}"/>
            </a:ext>
          </a:extLst>
        </xdr:cNvPr>
        <xdr:cNvSpPr/>
      </xdr:nvSpPr>
      <xdr:spPr>
        <a:xfrm>
          <a:off x="13849350" y="47389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190499</xdr:colOff>
      <xdr:row>22</xdr:row>
      <xdr:rowOff>33617</xdr:rowOff>
    </xdr:from>
    <xdr:to>
      <xdr:col>17</xdr:col>
      <xdr:colOff>414617</xdr:colOff>
      <xdr:row>22</xdr:row>
      <xdr:rowOff>201705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5104AA43-EE6D-4FD1-AC81-F44AE66E05B7}"/>
            </a:ext>
          </a:extLst>
        </xdr:cNvPr>
        <xdr:cNvSpPr/>
      </xdr:nvSpPr>
      <xdr:spPr>
        <a:xfrm>
          <a:off x="14430374" y="47389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190500</xdr:colOff>
      <xdr:row>23</xdr:row>
      <xdr:rowOff>33617</xdr:rowOff>
    </xdr:from>
    <xdr:to>
      <xdr:col>16</xdr:col>
      <xdr:colOff>414618</xdr:colOff>
      <xdr:row>23</xdr:row>
      <xdr:rowOff>201705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D82430F2-48B1-4F2B-B039-6A75BBE2829D}"/>
            </a:ext>
          </a:extLst>
        </xdr:cNvPr>
        <xdr:cNvSpPr/>
      </xdr:nvSpPr>
      <xdr:spPr>
        <a:xfrm>
          <a:off x="13849350" y="49770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190499</xdr:colOff>
      <xdr:row>23</xdr:row>
      <xdr:rowOff>33617</xdr:rowOff>
    </xdr:from>
    <xdr:to>
      <xdr:col>17</xdr:col>
      <xdr:colOff>414617</xdr:colOff>
      <xdr:row>23</xdr:row>
      <xdr:rowOff>201705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EE064A1-7D36-40B8-B7F5-38731119A013}"/>
            </a:ext>
          </a:extLst>
        </xdr:cNvPr>
        <xdr:cNvSpPr/>
      </xdr:nvSpPr>
      <xdr:spPr>
        <a:xfrm>
          <a:off x="14430374" y="49770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190500</xdr:colOff>
      <xdr:row>24</xdr:row>
      <xdr:rowOff>33617</xdr:rowOff>
    </xdr:from>
    <xdr:to>
      <xdr:col>16</xdr:col>
      <xdr:colOff>414618</xdr:colOff>
      <xdr:row>24</xdr:row>
      <xdr:rowOff>201705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9653DAE-C235-48CC-BD63-86350E9C69F7}"/>
            </a:ext>
          </a:extLst>
        </xdr:cNvPr>
        <xdr:cNvSpPr/>
      </xdr:nvSpPr>
      <xdr:spPr>
        <a:xfrm>
          <a:off x="13849350" y="52152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190499</xdr:colOff>
      <xdr:row>24</xdr:row>
      <xdr:rowOff>33617</xdr:rowOff>
    </xdr:from>
    <xdr:to>
      <xdr:col>17</xdr:col>
      <xdr:colOff>414617</xdr:colOff>
      <xdr:row>24</xdr:row>
      <xdr:rowOff>201705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31210AF-4F3B-48A9-9098-B71B8658E04F}"/>
            </a:ext>
          </a:extLst>
        </xdr:cNvPr>
        <xdr:cNvSpPr/>
      </xdr:nvSpPr>
      <xdr:spPr>
        <a:xfrm>
          <a:off x="14430374" y="52152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190500</xdr:colOff>
      <xdr:row>25</xdr:row>
      <xdr:rowOff>33617</xdr:rowOff>
    </xdr:from>
    <xdr:to>
      <xdr:col>16</xdr:col>
      <xdr:colOff>414618</xdr:colOff>
      <xdr:row>25</xdr:row>
      <xdr:rowOff>201705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E8085E0E-0367-47CD-A027-96A44C25487C}"/>
            </a:ext>
          </a:extLst>
        </xdr:cNvPr>
        <xdr:cNvSpPr/>
      </xdr:nvSpPr>
      <xdr:spPr>
        <a:xfrm>
          <a:off x="13849350" y="545334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190499</xdr:colOff>
      <xdr:row>25</xdr:row>
      <xdr:rowOff>33617</xdr:rowOff>
    </xdr:from>
    <xdr:to>
      <xdr:col>17</xdr:col>
      <xdr:colOff>414617</xdr:colOff>
      <xdr:row>25</xdr:row>
      <xdr:rowOff>201705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7D2C1FF5-1759-4C91-92C7-BE08B62B4386}"/>
            </a:ext>
          </a:extLst>
        </xdr:cNvPr>
        <xdr:cNvSpPr/>
      </xdr:nvSpPr>
      <xdr:spPr>
        <a:xfrm>
          <a:off x="14430374" y="545334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190500</xdr:colOff>
      <xdr:row>17</xdr:row>
      <xdr:rowOff>33617</xdr:rowOff>
    </xdr:from>
    <xdr:to>
      <xdr:col>16</xdr:col>
      <xdr:colOff>414618</xdr:colOff>
      <xdr:row>17</xdr:row>
      <xdr:rowOff>201705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3244A535-DBD4-4A84-AC26-8D519C5BB94C}"/>
            </a:ext>
          </a:extLst>
        </xdr:cNvPr>
        <xdr:cNvSpPr/>
      </xdr:nvSpPr>
      <xdr:spPr>
        <a:xfrm>
          <a:off x="13849350" y="354834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190499</xdr:colOff>
      <xdr:row>17</xdr:row>
      <xdr:rowOff>33617</xdr:rowOff>
    </xdr:from>
    <xdr:to>
      <xdr:col>17</xdr:col>
      <xdr:colOff>414617</xdr:colOff>
      <xdr:row>17</xdr:row>
      <xdr:rowOff>201705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BA5019F-5B44-4EC1-98CD-362A6CD238A8}"/>
            </a:ext>
          </a:extLst>
        </xdr:cNvPr>
        <xdr:cNvSpPr/>
      </xdr:nvSpPr>
      <xdr:spPr>
        <a:xfrm>
          <a:off x="14430374" y="354834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190500</xdr:colOff>
      <xdr:row>19</xdr:row>
      <xdr:rowOff>33617</xdr:rowOff>
    </xdr:from>
    <xdr:to>
      <xdr:col>16</xdr:col>
      <xdr:colOff>414618</xdr:colOff>
      <xdr:row>19</xdr:row>
      <xdr:rowOff>201705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15E2BD7-97D0-4239-8CFB-DABE6C4907D7}"/>
            </a:ext>
          </a:extLst>
        </xdr:cNvPr>
        <xdr:cNvSpPr/>
      </xdr:nvSpPr>
      <xdr:spPr>
        <a:xfrm>
          <a:off x="13849350" y="40245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190499</xdr:colOff>
      <xdr:row>19</xdr:row>
      <xdr:rowOff>33617</xdr:rowOff>
    </xdr:from>
    <xdr:to>
      <xdr:col>17</xdr:col>
      <xdr:colOff>414617</xdr:colOff>
      <xdr:row>19</xdr:row>
      <xdr:rowOff>201705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9B5B7152-60A4-4714-BC82-BF994B167D38}"/>
            </a:ext>
          </a:extLst>
        </xdr:cNvPr>
        <xdr:cNvSpPr/>
      </xdr:nvSpPr>
      <xdr:spPr>
        <a:xfrm>
          <a:off x="14430374" y="40245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190500</xdr:colOff>
      <xdr:row>21</xdr:row>
      <xdr:rowOff>33617</xdr:rowOff>
    </xdr:from>
    <xdr:to>
      <xdr:col>16</xdr:col>
      <xdr:colOff>414618</xdr:colOff>
      <xdr:row>21</xdr:row>
      <xdr:rowOff>201705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346EC755-B9CA-4FD6-BEEB-ACA84C045092}"/>
            </a:ext>
          </a:extLst>
        </xdr:cNvPr>
        <xdr:cNvSpPr/>
      </xdr:nvSpPr>
      <xdr:spPr>
        <a:xfrm>
          <a:off x="13849350" y="450084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190499</xdr:colOff>
      <xdr:row>21</xdr:row>
      <xdr:rowOff>33617</xdr:rowOff>
    </xdr:from>
    <xdr:to>
      <xdr:col>17</xdr:col>
      <xdr:colOff>414617</xdr:colOff>
      <xdr:row>21</xdr:row>
      <xdr:rowOff>201705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3F150AE9-F805-45AB-B062-B087DA6DFF58}"/>
            </a:ext>
          </a:extLst>
        </xdr:cNvPr>
        <xdr:cNvSpPr/>
      </xdr:nvSpPr>
      <xdr:spPr>
        <a:xfrm>
          <a:off x="14430374" y="450084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44822</xdr:colOff>
      <xdr:row>0</xdr:row>
      <xdr:rowOff>100853</xdr:rowOff>
    </xdr:from>
    <xdr:to>
      <xdr:col>1</xdr:col>
      <xdr:colOff>11205</xdr:colOff>
      <xdr:row>2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F007C62E-136F-4214-888F-6CDA69C8D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2" y="100853"/>
          <a:ext cx="318808" cy="346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190500</xdr:colOff>
      <xdr:row>10</xdr:row>
      <xdr:rowOff>33617</xdr:rowOff>
    </xdr:from>
    <xdr:to>
      <xdr:col>14</xdr:col>
      <xdr:colOff>414618</xdr:colOff>
      <xdr:row>10</xdr:row>
      <xdr:rowOff>201705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A40C697-8C58-4059-A6B9-DDFD21566557}"/>
            </a:ext>
          </a:extLst>
        </xdr:cNvPr>
        <xdr:cNvSpPr/>
      </xdr:nvSpPr>
      <xdr:spPr>
        <a:xfrm>
          <a:off x="11096625" y="18814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10</xdr:row>
      <xdr:rowOff>33617</xdr:rowOff>
    </xdr:from>
    <xdr:to>
      <xdr:col>15</xdr:col>
      <xdr:colOff>414617</xdr:colOff>
      <xdr:row>10</xdr:row>
      <xdr:rowOff>201705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60CABA5-625E-4802-8041-3D6A6EFE8735}"/>
            </a:ext>
          </a:extLst>
        </xdr:cNvPr>
        <xdr:cNvSpPr/>
      </xdr:nvSpPr>
      <xdr:spPr>
        <a:xfrm>
          <a:off x="11658599" y="18814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11</xdr:row>
      <xdr:rowOff>33617</xdr:rowOff>
    </xdr:from>
    <xdr:to>
      <xdr:col>14</xdr:col>
      <xdr:colOff>414618</xdr:colOff>
      <xdr:row>11</xdr:row>
      <xdr:rowOff>201705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CD922DD-25A1-4F66-BEF9-E34DCF46BF94}"/>
            </a:ext>
          </a:extLst>
        </xdr:cNvPr>
        <xdr:cNvSpPr/>
      </xdr:nvSpPr>
      <xdr:spPr>
        <a:xfrm>
          <a:off x="11082618" y="187138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11</xdr:row>
      <xdr:rowOff>33617</xdr:rowOff>
    </xdr:from>
    <xdr:to>
      <xdr:col>15</xdr:col>
      <xdr:colOff>414617</xdr:colOff>
      <xdr:row>11</xdr:row>
      <xdr:rowOff>201705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C72E3BB-65AB-428F-8675-262B45F8F2F4}"/>
            </a:ext>
          </a:extLst>
        </xdr:cNvPr>
        <xdr:cNvSpPr/>
      </xdr:nvSpPr>
      <xdr:spPr>
        <a:xfrm>
          <a:off x="11642911" y="187138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12</xdr:row>
      <xdr:rowOff>33617</xdr:rowOff>
    </xdr:from>
    <xdr:to>
      <xdr:col>14</xdr:col>
      <xdr:colOff>414618</xdr:colOff>
      <xdr:row>12</xdr:row>
      <xdr:rowOff>201705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2BE8727-1D67-4C62-A3CA-14309D50109D}"/>
            </a:ext>
          </a:extLst>
        </xdr:cNvPr>
        <xdr:cNvSpPr/>
      </xdr:nvSpPr>
      <xdr:spPr>
        <a:xfrm>
          <a:off x="11239500" y="187138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12</xdr:row>
      <xdr:rowOff>33617</xdr:rowOff>
    </xdr:from>
    <xdr:to>
      <xdr:col>15</xdr:col>
      <xdr:colOff>414617</xdr:colOff>
      <xdr:row>12</xdr:row>
      <xdr:rowOff>201705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1F7D460-28D6-4493-8913-634933FC81F1}"/>
            </a:ext>
          </a:extLst>
        </xdr:cNvPr>
        <xdr:cNvSpPr/>
      </xdr:nvSpPr>
      <xdr:spPr>
        <a:xfrm>
          <a:off x="11799793" y="187138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13</xdr:row>
      <xdr:rowOff>33617</xdr:rowOff>
    </xdr:from>
    <xdr:to>
      <xdr:col>14</xdr:col>
      <xdr:colOff>414618</xdr:colOff>
      <xdr:row>13</xdr:row>
      <xdr:rowOff>201705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EA61E11-0F23-4CC2-9200-F1BD10BD4CFF}"/>
            </a:ext>
          </a:extLst>
        </xdr:cNvPr>
        <xdr:cNvSpPr/>
      </xdr:nvSpPr>
      <xdr:spPr>
        <a:xfrm>
          <a:off x="11239500" y="2117911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13</xdr:row>
      <xdr:rowOff>33617</xdr:rowOff>
    </xdr:from>
    <xdr:to>
      <xdr:col>15</xdr:col>
      <xdr:colOff>414617</xdr:colOff>
      <xdr:row>13</xdr:row>
      <xdr:rowOff>201705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57A6A56-F283-42B7-8E59-6CD1EC288CE3}"/>
            </a:ext>
          </a:extLst>
        </xdr:cNvPr>
        <xdr:cNvSpPr/>
      </xdr:nvSpPr>
      <xdr:spPr>
        <a:xfrm>
          <a:off x="11799793" y="2117911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14</xdr:row>
      <xdr:rowOff>33617</xdr:rowOff>
    </xdr:from>
    <xdr:to>
      <xdr:col>14</xdr:col>
      <xdr:colOff>414618</xdr:colOff>
      <xdr:row>14</xdr:row>
      <xdr:rowOff>201705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7F30D60-8E15-42AD-B9ED-C96A56BAA3E8}"/>
            </a:ext>
          </a:extLst>
        </xdr:cNvPr>
        <xdr:cNvSpPr/>
      </xdr:nvSpPr>
      <xdr:spPr>
        <a:xfrm>
          <a:off x="11239500" y="187138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14</xdr:row>
      <xdr:rowOff>33617</xdr:rowOff>
    </xdr:from>
    <xdr:to>
      <xdr:col>15</xdr:col>
      <xdr:colOff>414617</xdr:colOff>
      <xdr:row>14</xdr:row>
      <xdr:rowOff>201705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1306FA0-56D4-4B43-B67A-61D4C27D2679}"/>
            </a:ext>
          </a:extLst>
        </xdr:cNvPr>
        <xdr:cNvSpPr/>
      </xdr:nvSpPr>
      <xdr:spPr>
        <a:xfrm>
          <a:off x="11799793" y="187138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15</xdr:row>
      <xdr:rowOff>33617</xdr:rowOff>
    </xdr:from>
    <xdr:to>
      <xdr:col>14</xdr:col>
      <xdr:colOff>414618</xdr:colOff>
      <xdr:row>15</xdr:row>
      <xdr:rowOff>201705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F242468-3549-4B7F-94B3-3E7E0528962D}"/>
            </a:ext>
          </a:extLst>
        </xdr:cNvPr>
        <xdr:cNvSpPr/>
      </xdr:nvSpPr>
      <xdr:spPr>
        <a:xfrm>
          <a:off x="11239500" y="2902323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15</xdr:row>
      <xdr:rowOff>33617</xdr:rowOff>
    </xdr:from>
    <xdr:to>
      <xdr:col>15</xdr:col>
      <xdr:colOff>414617</xdr:colOff>
      <xdr:row>15</xdr:row>
      <xdr:rowOff>201705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68B9D7A-6878-47F1-AED6-685E47B9DD3C}"/>
            </a:ext>
          </a:extLst>
        </xdr:cNvPr>
        <xdr:cNvSpPr/>
      </xdr:nvSpPr>
      <xdr:spPr>
        <a:xfrm>
          <a:off x="11799793" y="2902323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16</xdr:row>
      <xdr:rowOff>33617</xdr:rowOff>
    </xdr:from>
    <xdr:to>
      <xdr:col>14</xdr:col>
      <xdr:colOff>414618</xdr:colOff>
      <xdr:row>16</xdr:row>
      <xdr:rowOff>201705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BF261F5-5AA7-4930-87B3-A3AB3F464B0B}"/>
            </a:ext>
          </a:extLst>
        </xdr:cNvPr>
        <xdr:cNvSpPr/>
      </xdr:nvSpPr>
      <xdr:spPr>
        <a:xfrm>
          <a:off x="11229975" y="1620919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16</xdr:row>
      <xdr:rowOff>33617</xdr:rowOff>
    </xdr:from>
    <xdr:to>
      <xdr:col>15</xdr:col>
      <xdr:colOff>414617</xdr:colOff>
      <xdr:row>16</xdr:row>
      <xdr:rowOff>201705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D8EC980F-0AE5-4606-9E11-3CFD603BF386}"/>
            </a:ext>
          </a:extLst>
        </xdr:cNvPr>
        <xdr:cNvSpPr/>
      </xdr:nvSpPr>
      <xdr:spPr>
        <a:xfrm>
          <a:off x="11801474" y="1620919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16</xdr:row>
      <xdr:rowOff>33617</xdr:rowOff>
    </xdr:from>
    <xdr:to>
      <xdr:col>14</xdr:col>
      <xdr:colOff>414618</xdr:colOff>
      <xdr:row>16</xdr:row>
      <xdr:rowOff>201705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15CA1AA2-493C-4A22-AB67-D63F75FD8316}"/>
            </a:ext>
          </a:extLst>
        </xdr:cNvPr>
        <xdr:cNvSpPr/>
      </xdr:nvSpPr>
      <xdr:spPr>
        <a:xfrm>
          <a:off x="11631706" y="5479676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16</xdr:row>
      <xdr:rowOff>33617</xdr:rowOff>
    </xdr:from>
    <xdr:to>
      <xdr:col>15</xdr:col>
      <xdr:colOff>414617</xdr:colOff>
      <xdr:row>16</xdr:row>
      <xdr:rowOff>201705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A9FBED6-952D-4003-A54F-37DC1E62B62C}"/>
            </a:ext>
          </a:extLst>
        </xdr:cNvPr>
        <xdr:cNvSpPr/>
      </xdr:nvSpPr>
      <xdr:spPr>
        <a:xfrm>
          <a:off x="12191999" y="5479676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14</xdr:row>
      <xdr:rowOff>33617</xdr:rowOff>
    </xdr:from>
    <xdr:to>
      <xdr:col>14</xdr:col>
      <xdr:colOff>414618</xdr:colOff>
      <xdr:row>14</xdr:row>
      <xdr:rowOff>201705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DA2D18A5-DD0F-46FC-8470-9DC6BFD8F463}"/>
            </a:ext>
          </a:extLst>
        </xdr:cNvPr>
        <xdr:cNvSpPr/>
      </xdr:nvSpPr>
      <xdr:spPr>
        <a:xfrm>
          <a:off x="11182350" y="1625872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14</xdr:row>
      <xdr:rowOff>33617</xdr:rowOff>
    </xdr:from>
    <xdr:to>
      <xdr:col>15</xdr:col>
      <xdr:colOff>414617</xdr:colOff>
      <xdr:row>14</xdr:row>
      <xdr:rowOff>201705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8F3AE054-710D-4586-B817-05598CFEB2D0}"/>
            </a:ext>
          </a:extLst>
        </xdr:cNvPr>
        <xdr:cNvSpPr/>
      </xdr:nvSpPr>
      <xdr:spPr>
        <a:xfrm>
          <a:off x="11715749" y="1625872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11</xdr:row>
      <xdr:rowOff>33617</xdr:rowOff>
    </xdr:from>
    <xdr:to>
      <xdr:col>14</xdr:col>
      <xdr:colOff>414618</xdr:colOff>
      <xdr:row>11</xdr:row>
      <xdr:rowOff>201705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148B6E7C-57F5-487E-8F22-A074B5965EB5}"/>
            </a:ext>
          </a:extLst>
        </xdr:cNvPr>
        <xdr:cNvSpPr/>
      </xdr:nvSpPr>
      <xdr:spPr>
        <a:xfrm>
          <a:off x="11182350" y="1618728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11</xdr:row>
      <xdr:rowOff>33617</xdr:rowOff>
    </xdr:from>
    <xdr:to>
      <xdr:col>15</xdr:col>
      <xdr:colOff>414617</xdr:colOff>
      <xdr:row>11</xdr:row>
      <xdr:rowOff>201705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4650C46-F391-4456-8E30-65F4D400400C}"/>
            </a:ext>
          </a:extLst>
        </xdr:cNvPr>
        <xdr:cNvSpPr/>
      </xdr:nvSpPr>
      <xdr:spPr>
        <a:xfrm>
          <a:off x="11715749" y="1618728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12</xdr:row>
      <xdr:rowOff>33617</xdr:rowOff>
    </xdr:from>
    <xdr:to>
      <xdr:col>14</xdr:col>
      <xdr:colOff>414618</xdr:colOff>
      <xdr:row>12</xdr:row>
      <xdr:rowOff>201705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4B5FB04C-3FB3-4D3F-A556-3B32C527570C}"/>
            </a:ext>
          </a:extLst>
        </xdr:cNvPr>
        <xdr:cNvSpPr/>
      </xdr:nvSpPr>
      <xdr:spPr>
        <a:xfrm>
          <a:off x="11182350" y="1621110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12</xdr:row>
      <xdr:rowOff>33617</xdr:rowOff>
    </xdr:from>
    <xdr:to>
      <xdr:col>15</xdr:col>
      <xdr:colOff>414617</xdr:colOff>
      <xdr:row>12</xdr:row>
      <xdr:rowOff>201705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57E2128-54AE-43F3-A2FC-A7D1C4649A88}"/>
            </a:ext>
          </a:extLst>
        </xdr:cNvPr>
        <xdr:cNvSpPr/>
      </xdr:nvSpPr>
      <xdr:spPr>
        <a:xfrm>
          <a:off x="11715749" y="1621110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13</xdr:row>
      <xdr:rowOff>33617</xdr:rowOff>
    </xdr:from>
    <xdr:to>
      <xdr:col>14</xdr:col>
      <xdr:colOff>414618</xdr:colOff>
      <xdr:row>13</xdr:row>
      <xdr:rowOff>201705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382397EE-312A-4FD7-AA9A-4642D0BBE8E0}"/>
            </a:ext>
          </a:extLst>
        </xdr:cNvPr>
        <xdr:cNvSpPr/>
      </xdr:nvSpPr>
      <xdr:spPr>
        <a:xfrm>
          <a:off x="11182350" y="16234914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13</xdr:row>
      <xdr:rowOff>33617</xdr:rowOff>
    </xdr:from>
    <xdr:to>
      <xdr:col>15</xdr:col>
      <xdr:colOff>414617</xdr:colOff>
      <xdr:row>13</xdr:row>
      <xdr:rowOff>201705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C31599D3-1C6B-41D3-BE05-610660424380}"/>
            </a:ext>
          </a:extLst>
        </xdr:cNvPr>
        <xdr:cNvSpPr/>
      </xdr:nvSpPr>
      <xdr:spPr>
        <a:xfrm>
          <a:off x="11715749" y="16234914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10</xdr:row>
      <xdr:rowOff>33617</xdr:rowOff>
    </xdr:from>
    <xdr:to>
      <xdr:col>14</xdr:col>
      <xdr:colOff>414618</xdr:colOff>
      <xdr:row>10</xdr:row>
      <xdr:rowOff>201705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C8BB479-CB4C-4A1C-B8DC-DB375B2D83EE}"/>
            </a:ext>
          </a:extLst>
        </xdr:cNvPr>
        <xdr:cNvSpPr/>
      </xdr:nvSpPr>
      <xdr:spPr>
        <a:xfrm>
          <a:off x="11182350" y="1616347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10</xdr:row>
      <xdr:rowOff>33617</xdr:rowOff>
    </xdr:from>
    <xdr:to>
      <xdr:col>15</xdr:col>
      <xdr:colOff>414617</xdr:colOff>
      <xdr:row>10</xdr:row>
      <xdr:rowOff>201705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6BACED6E-79E6-41E2-9630-441187E39D0D}"/>
            </a:ext>
          </a:extLst>
        </xdr:cNvPr>
        <xdr:cNvSpPr/>
      </xdr:nvSpPr>
      <xdr:spPr>
        <a:xfrm>
          <a:off x="11715749" y="1616347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15</xdr:row>
      <xdr:rowOff>33617</xdr:rowOff>
    </xdr:from>
    <xdr:to>
      <xdr:col>14</xdr:col>
      <xdr:colOff>414618</xdr:colOff>
      <xdr:row>15</xdr:row>
      <xdr:rowOff>201705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FD4FE815-BF23-46D6-8612-5EB6422DC62A}"/>
            </a:ext>
          </a:extLst>
        </xdr:cNvPr>
        <xdr:cNvSpPr/>
      </xdr:nvSpPr>
      <xdr:spPr>
        <a:xfrm>
          <a:off x="11182350" y="1628253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15</xdr:row>
      <xdr:rowOff>33617</xdr:rowOff>
    </xdr:from>
    <xdr:to>
      <xdr:col>15</xdr:col>
      <xdr:colOff>414617</xdr:colOff>
      <xdr:row>15</xdr:row>
      <xdr:rowOff>201705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97E22578-5754-4F90-91A0-64B65CF1697F}"/>
            </a:ext>
          </a:extLst>
        </xdr:cNvPr>
        <xdr:cNvSpPr/>
      </xdr:nvSpPr>
      <xdr:spPr>
        <a:xfrm>
          <a:off x="11715749" y="1628253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16</xdr:row>
      <xdr:rowOff>33617</xdr:rowOff>
    </xdr:from>
    <xdr:to>
      <xdr:col>14</xdr:col>
      <xdr:colOff>414618</xdr:colOff>
      <xdr:row>16</xdr:row>
      <xdr:rowOff>201705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8FC53F08-D737-41CC-841A-78CD41476578}"/>
            </a:ext>
          </a:extLst>
        </xdr:cNvPr>
        <xdr:cNvSpPr/>
      </xdr:nvSpPr>
      <xdr:spPr>
        <a:xfrm>
          <a:off x="11182350" y="1640160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16</xdr:row>
      <xdr:rowOff>33617</xdr:rowOff>
    </xdr:from>
    <xdr:to>
      <xdr:col>15</xdr:col>
      <xdr:colOff>414617</xdr:colOff>
      <xdr:row>16</xdr:row>
      <xdr:rowOff>201705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65806A8-F872-46CC-9FEE-026E85664748}"/>
            </a:ext>
          </a:extLst>
        </xdr:cNvPr>
        <xdr:cNvSpPr/>
      </xdr:nvSpPr>
      <xdr:spPr>
        <a:xfrm>
          <a:off x="11715749" y="1640160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17</xdr:row>
      <xdr:rowOff>33617</xdr:rowOff>
    </xdr:from>
    <xdr:to>
      <xdr:col>14</xdr:col>
      <xdr:colOff>414618</xdr:colOff>
      <xdr:row>17</xdr:row>
      <xdr:rowOff>201705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C8E4FA6A-8F04-49C5-8CE2-1FBA766EA633}"/>
            </a:ext>
          </a:extLst>
        </xdr:cNvPr>
        <xdr:cNvSpPr/>
      </xdr:nvSpPr>
      <xdr:spPr>
        <a:xfrm>
          <a:off x="11182350" y="16425414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17</xdr:row>
      <xdr:rowOff>33617</xdr:rowOff>
    </xdr:from>
    <xdr:to>
      <xdr:col>15</xdr:col>
      <xdr:colOff>414617</xdr:colOff>
      <xdr:row>17</xdr:row>
      <xdr:rowOff>201705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CEE3227-EACD-4134-91D8-7168E126F9F0}"/>
            </a:ext>
          </a:extLst>
        </xdr:cNvPr>
        <xdr:cNvSpPr/>
      </xdr:nvSpPr>
      <xdr:spPr>
        <a:xfrm>
          <a:off x="11715749" y="16425414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19</xdr:row>
      <xdr:rowOff>33617</xdr:rowOff>
    </xdr:from>
    <xdr:to>
      <xdr:col>14</xdr:col>
      <xdr:colOff>414618</xdr:colOff>
      <xdr:row>19</xdr:row>
      <xdr:rowOff>201705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C1C4BBD4-CAA7-4C68-8FF3-3705EFFB0F2B}"/>
            </a:ext>
          </a:extLst>
        </xdr:cNvPr>
        <xdr:cNvSpPr/>
      </xdr:nvSpPr>
      <xdr:spPr>
        <a:xfrm>
          <a:off x="11182350" y="1659210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19</xdr:row>
      <xdr:rowOff>33617</xdr:rowOff>
    </xdr:from>
    <xdr:to>
      <xdr:col>15</xdr:col>
      <xdr:colOff>414617</xdr:colOff>
      <xdr:row>19</xdr:row>
      <xdr:rowOff>201705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FBBD510F-5514-415A-A3A1-A867E5922C79}"/>
            </a:ext>
          </a:extLst>
        </xdr:cNvPr>
        <xdr:cNvSpPr/>
      </xdr:nvSpPr>
      <xdr:spPr>
        <a:xfrm>
          <a:off x="11715749" y="1659210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23</xdr:row>
      <xdr:rowOff>33617</xdr:rowOff>
    </xdr:from>
    <xdr:to>
      <xdr:col>14</xdr:col>
      <xdr:colOff>414618</xdr:colOff>
      <xdr:row>23</xdr:row>
      <xdr:rowOff>201705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296B234A-D5D2-45CF-AFA2-848B4448F0BD}"/>
            </a:ext>
          </a:extLst>
        </xdr:cNvPr>
        <xdr:cNvSpPr/>
      </xdr:nvSpPr>
      <xdr:spPr>
        <a:xfrm>
          <a:off x="11182350" y="1666353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23</xdr:row>
      <xdr:rowOff>33617</xdr:rowOff>
    </xdr:from>
    <xdr:to>
      <xdr:col>15</xdr:col>
      <xdr:colOff>414617</xdr:colOff>
      <xdr:row>23</xdr:row>
      <xdr:rowOff>201705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D91C6AE6-D692-4536-A967-93B7DC9CBF44}"/>
            </a:ext>
          </a:extLst>
        </xdr:cNvPr>
        <xdr:cNvSpPr/>
      </xdr:nvSpPr>
      <xdr:spPr>
        <a:xfrm>
          <a:off x="11715749" y="1666353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20</xdr:row>
      <xdr:rowOff>33617</xdr:rowOff>
    </xdr:from>
    <xdr:to>
      <xdr:col>14</xdr:col>
      <xdr:colOff>414618</xdr:colOff>
      <xdr:row>20</xdr:row>
      <xdr:rowOff>201705</xdr:rowOff>
    </xdr:to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EA54F38A-8101-4FC5-B91B-DA970DF0020A}"/>
            </a:ext>
          </a:extLst>
        </xdr:cNvPr>
        <xdr:cNvSpPr/>
      </xdr:nvSpPr>
      <xdr:spPr>
        <a:xfrm>
          <a:off x="11182350" y="16615914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20</xdr:row>
      <xdr:rowOff>33617</xdr:rowOff>
    </xdr:from>
    <xdr:to>
      <xdr:col>15</xdr:col>
      <xdr:colOff>414617</xdr:colOff>
      <xdr:row>20</xdr:row>
      <xdr:rowOff>201705</xdr:rowOff>
    </xdr:to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3B023578-AB80-4DBC-8FCC-9F8163430778}"/>
            </a:ext>
          </a:extLst>
        </xdr:cNvPr>
        <xdr:cNvSpPr/>
      </xdr:nvSpPr>
      <xdr:spPr>
        <a:xfrm>
          <a:off x="11715749" y="16615914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24</xdr:row>
      <xdr:rowOff>33617</xdr:rowOff>
    </xdr:from>
    <xdr:to>
      <xdr:col>14</xdr:col>
      <xdr:colOff>414618</xdr:colOff>
      <xdr:row>24</xdr:row>
      <xdr:rowOff>201705</xdr:rowOff>
    </xdr:to>
    <xdr:sp macro="" textlink="">
      <xdr:nvSpPr>
        <xdr:cNvPr id="243" name="Rectangle 242">
          <a:extLst>
            <a:ext uri="{FF2B5EF4-FFF2-40B4-BE49-F238E27FC236}">
              <a16:creationId xmlns:a16="http://schemas.microsoft.com/office/drawing/2014/main" id="{17EF5E15-4AB1-4BCF-8A5D-6B177196E109}"/>
            </a:ext>
          </a:extLst>
        </xdr:cNvPr>
        <xdr:cNvSpPr/>
      </xdr:nvSpPr>
      <xdr:spPr>
        <a:xfrm>
          <a:off x="11182350" y="1863997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24</xdr:row>
      <xdr:rowOff>33617</xdr:rowOff>
    </xdr:from>
    <xdr:to>
      <xdr:col>15</xdr:col>
      <xdr:colOff>414617</xdr:colOff>
      <xdr:row>24</xdr:row>
      <xdr:rowOff>201705</xdr:rowOff>
    </xdr:to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557CEE1B-B5F8-4BF2-97A3-92AC759B6D3F}"/>
            </a:ext>
          </a:extLst>
        </xdr:cNvPr>
        <xdr:cNvSpPr/>
      </xdr:nvSpPr>
      <xdr:spPr>
        <a:xfrm>
          <a:off x="11715749" y="1863997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25</xdr:row>
      <xdr:rowOff>33617</xdr:rowOff>
    </xdr:from>
    <xdr:to>
      <xdr:col>14</xdr:col>
      <xdr:colOff>414618</xdr:colOff>
      <xdr:row>25</xdr:row>
      <xdr:rowOff>201705</xdr:rowOff>
    </xdr:to>
    <xdr:sp macro="" textlink="">
      <xdr:nvSpPr>
        <xdr:cNvPr id="245" name="Rectangle 244">
          <a:extLst>
            <a:ext uri="{FF2B5EF4-FFF2-40B4-BE49-F238E27FC236}">
              <a16:creationId xmlns:a16="http://schemas.microsoft.com/office/drawing/2014/main" id="{31DACAD8-B91E-4D83-9C6F-2227A341CE05}"/>
            </a:ext>
          </a:extLst>
        </xdr:cNvPr>
        <xdr:cNvSpPr/>
      </xdr:nvSpPr>
      <xdr:spPr>
        <a:xfrm>
          <a:off x="11182350" y="1866378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25</xdr:row>
      <xdr:rowOff>33617</xdr:rowOff>
    </xdr:from>
    <xdr:to>
      <xdr:col>15</xdr:col>
      <xdr:colOff>414617</xdr:colOff>
      <xdr:row>25</xdr:row>
      <xdr:rowOff>201705</xdr:rowOff>
    </xdr:to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E63C6724-F92A-4E9D-950A-7216240EBA80}"/>
            </a:ext>
          </a:extLst>
        </xdr:cNvPr>
        <xdr:cNvSpPr/>
      </xdr:nvSpPr>
      <xdr:spPr>
        <a:xfrm>
          <a:off x="11715749" y="1866378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26</xdr:row>
      <xdr:rowOff>33617</xdr:rowOff>
    </xdr:from>
    <xdr:to>
      <xdr:col>14</xdr:col>
      <xdr:colOff>414618</xdr:colOff>
      <xdr:row>26</xdr:row>
      <xdr:rowOff>201705</xdr:rowOff>
    </xdr:to>
    <xdr:sp macro="" textlink="">
      <xdr:nvSpPr>
        <xdr:cNvPr id="251" name="Rectangle 250">
          <a:extLst>
            <a:ext uri="{FF2B5EF4-FFF2-40B4-BE49-F238E27FC236}">
              <a16:creationId xmlns:a16="http://schemas.microsoft.com/office/drawing/2014/main" id="{8BCCBBAF-410B-4CAC-B918-FF0D0565A8EA}"/>
            </a:ext>
          </a:extLst>
        </xdr:cNvPr>
        <xdr:cNvSpPr/>
      </xdr:nvSpPr>
      <xdr:spPr>
        <a:xfrm>
          <a:off x="11182350" y="1873522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26</xdr:row>
      <xdr:rowOff>33617</xdr:rowOff>
    </xdr:from>
    <xdr:to>
      <xdr:col>15</xdr:col>
      <xdr:colOff>414617</xdr:colOff>
      <xdr:row>26</xdr:row>
      <xdr:rowOff>201705</xdr:rowOff>
    </xdr:to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E3B486C1-8CC8-45A6-8015-E1E059024885}"/>
            </a:ext>
          </a:extLst>
        </xdr:cNvPr>
        <xdr:cNvSpPr/>
      </xdr:nvSpPr>
      <xdr:spPr>
        <a:xfrm>
          <a:off x="11715749" y="1873522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27</xdr:row>
      <xdr:rowOff>33617</xdr:rowOff>
    </xdr:from>
    <xdr:to>
      <xdr:col>14</xdr:col>
      <xdr:colOff>414618</xdr:colOff>
      <xdr:row>27</xdr:row>
      <xdr:rowOff>201705</xdr:rowOff>
    </xdr:to>
    <xdr:sp macro="" textlink="">
      <xdr:nvSpPr>
        <xdr:cNvPr id="253" name="Rectangle 252">
          <a:extLst>
            <a:ext uri="{FF2B5EF4-FFF2-40B4-BE49-F238E27FC236}">
              <a16:creationId xmlns:a16="http://schemas.microsoft.com/office/drawing/2014/main" id="{6A408DFD-9DBE-4F78-BD0C-7A2B7EB4A710}"/>
            </a:ext>
          </a:extLst>
        </xdr:cNvPr>
        <xdr:cNvSpPr/>
      </xdr:nvSpPr>
      <xdr:spPr>
        <a:xfrm>
          <a:off x="11182350" y="1875903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27</xdr:row>
      <xdr:rowOff>33617</xdr:rowOff>
    </xdr:from>
    <xdr:to>
      <xdr:col>15</xdr:col>
      <xdr:colOff>414617</xdr:colOff>
      <xdr:row>27</xdr:row>
      <xdr:rowOff>201705</xdr:rowOff>
    </xdr:to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1FFBEB42-00FF-4E01-BEDF-3F1C904E65E4}"/>
            </a:ext>
          </a:extLst>
        </xdr:cNvPr>
        <xdr:cNvSpPr/>
      </xdr:nvSpPr>
      <xdr:spPr>
        <a:xfrm>
          <a:off x="11715749" y="1875903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28</xdr:row>
      <xdr:rowOff>33617</xdr:rowOff>
    </xdr:from>
    <xdr:to>
      <xdr:col>14</xdr:col>
      <xdr:colOff>414618</xdr:colOff>
      <xdr:row>28</xdr:row>
      <xdr:rowOff>201705</xdr:rowOff>
    </xdr:to>
    <xdr:sp macro="" textlink="">
      <xdr:nvSpPr>
        <xdr:cNvPr id="255" name="Rectangle 254">
          <a:extLst>
            <a:ext uri="{FF2B5EF4-FFF2-40B4-BE49-F238E27FC236}">
              <a16:creationId xmlns:a16="http://schemas.microsoft.com/office/drawing/2014/main" id="{A84C4680-C3BD-4C99-BA8B-951ECE08DE37}"/>
            </a:ext>
          </a:extLst>
        </xdr:cNvPr>
        <xdr:cNvSpPr/>
      </xdr:nvSpPr>
      <xdr:spPr>
        <a:xfrm>
          <a:off x="11182350" y="1878285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28</xdr:row>
      <xdr:rowOff>33617</xdr:rowOff>
    </xdr:from>
    <xdr:to>
      <xdr:col>15</xdr:col>
      <xdr:colOff>414617</xdr:colOff>
      <xdr:row>28</xdr:row>
      <xdr:rowOff>201705</xdr:rowOff>
    </xdr:to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E16600A1-D4FF-434F-9527-1F6010A283E8}"/>
            </a:ext>
          </a:extLst>
        </xdr:cNvPr>
        <xdr:cNvSpPr/>
      </xdr:nvSpPr>
      <xdr:spPr>
        <a:xfrm>
          <a:off x="11715749" y="1878285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29</xdr:row>
      <xdr:rowOff>33617</xdr:rowOff>
    </xdr:from>
    <xdr:to>
      <xdr:col>14</xdr:col>
      <xdr:colOff>414618</xdr:colOff>
      <xdr:row>29</xdr:row>
      <xdr:rowOff>201705</xdr:rowOff>
    </xdr:to>
    <xdr:sp macro="" textlink="">
      <xdr:nvSpPr>
        <xdr:cNvPr id="257" name="Rectangle 256">
          <a:extLst>
            <a:ext uri="{FF2B5EF4-FFF2-40B4-BE49-F238E27FC236}">
              <a16:creationId xmlns:a16="http://schemas.microsoft.com/office/drawing/2014/main" id="{059863AB-94CF-4EC2-AFFC-6FF36F243A03}"/>
            </a:ext>
          </a:extLst>
        </xdr:cNvPr>
        <xdr:cNvSpPr/>
      </xdr:nvSpPr>
      <xdr:spPr>
        <a:xfrm>
          <a:off x="11182350" y="18806664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29</xdr:row>
      <xdr:rowOff>33617</xdr:rowOff>
    </xdr:from>
    <xdr:to>
      <xdr:col>15</xdr:col>
      <xdr:colOff>414617</xdr:colOff>
      <xdr:row>29</xdr:row>
      <xdr:rowOff>201705</xdr:rowOff>
    </xdr:to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1B34F03-8DAA-4E0C-A41C-80CC83613B33}"/>
            </a:ext>
          </a:extLst>
        </xdr:cNvPr>
        <xdr:cNvSpPr/>
      </xdr:nvSpPr>
      <xdr:spPr>
        <a:xfrm>
          <a:off x="11715749" y="18806664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30</xdr:row>
      <xdr:rowOff>33617</xdr:rowOff>
    </xdr:from>
    <xdr:to>
      <xdr:col>14</xdr:col>
      <xdr:colOff>414618</xdr:colOff>
      <xdr:row>30</xdr:row>
      <xdr:rowOff>201705</xdr:rowOff>
    </xdr:to>
    <xdr:sp macro="" textlink="">
      <xdr:nvSpPr>
        <xdr:cNvPr id="259" name="Rectangle 258">
          <a:extLst>
            <a:ext uri="{FF2B5EF4-FFF2-40B4-BE49-F238E27FC236}">
              <a16:creationId xmlns:a16="http://schemas.microsoft.com/office/drawing/2014/main" id="{0465B9F2-6B0C-4D79-9569-675E5FCA21C5}"/>
            </a:ext>
          </a:extLst>
        </xdr:cNvPr>
        <xdr:cNvSpPr/>
      </xdr:nvSpPr>
      <xdr:spPr>
        <a:xfrm>
          <a:off x="11182350" y="1883047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30</xdr:row>
      <xdr:rowOff>33617</xdr:rowOff>
    </xdr:from>
    <xdr:to>
      <xdr:col>15</xdr:col>
      <xdr:colOff>414617</xdr:colOff>
      <xdr:row>30</xdr:row>
      <xdr:rowOff>201705</xdr:rowOff>
    </xdr:to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525D8D03-87EC-4F22-88A1-C5266D0EAC72}"/>
            </a:ext>
          </a:extLst>
        </xdr:cNvPr>
        <xdr:cNvSpPr/>
      </xdr:nvSpPr>
      <xdr:spPr>
        <a:xfrm>
          <a:off x="11715749" y="1883047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31</xdr:row>
      <xdr:rowOff>33617</xdr:rowOff>
    </xdr:from>
    <xdr:to>
      <xdr:col>14</xdr:col>
      <xdr:colOff>414618</xdr:colOff>
      <xdr:row>31</xdr:row>
      <xdr:rowOff>201705</xdr:rowOff>
    </xdr:to>
    <xdr:sp macro="" textlink="">
      <xdr:nvSpPr>
        <xdr:cNvPr id="263" name="Rectangle 262">
          <a:extLst>
            <a:ext uri="{FF2B5EF4-FFF2-40B4-BE49-F238E27FC236}">
              <a16:creationId xmlns:a16="http://schemas.microsoft.com/office/drawing/2014/main" id="{9E52C03A-3500-4AA9-BEDB-12B2CAC4F189}"/>
            </a:ext>
          </a:extLst>
        </xdr:cNvPr>
        <xdr:cNvSpPr/>
      </xdr:nvSpPr>
      <xdr:spPr>
        <a:xfrm>
          <a:off x="11182350" y="1887810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31</xdr:row>
      <xdr:rowOff>33617</xdr:rowOff>
    </xdr:from>
    <xdr:to>
      <xdr:col>15</xdr:col>
      <xdr:colOff>414617</xdr:colOff>
      <xdr:row>31</xdr:row>
      <xdr:rowOff>201705</xdr:rowOff>
    </xdr:to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D750960-48B9-41C1-A461-B48779654501}"/>
            </a:ext>
          </a:extLst>
        </xdr:cNvPr>
        <xdr:cNvSpPr/>
      </xdr:nvSpPr>
      <xdr:spPr>
        <a:xfrm>
          <a:off x="11715749" y="1887810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32</xdr:row>
      <xdr:rowOff>33617</xdr:rowOff>
    </xdr:from>
    <xdr:to>
      <xdr:col>14</xdr:col>
      <xdr:colOff>414618</xdr:colOff>
      <xdr:row>32</xdr:row>
      <xdr:rowOff>201705</xdr:rowOff>
    </xdr:to>
    <xdr:sp macro="" textlink="">
      <xdr:nvSpPr>
        <xdr:cNvPr id="265" name="Rectangle 264">
          <a:extLst>
            <a:ext uri="{FF2B5EF4-FFF2-40B4-BE49-F238E27FC236}">
              <a16:creationId xmlns:a16="http://schemas.microsoft.com/office/drawing/2014/main" id="{7F134649-39E5-4FBE-88C7-4F9B16974290}"/>
            </a:ext>
          </a:extLst>
        </xdr:cNvPr>
        <xdr:cNvSpPr/>
      </xdr:nvSpPr>
      <xdr:spPr>
        <a:xfrm>
          <a:off x="11182350" y="18901914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32</xdr:row>
      <xdr:rowOff>33617</xdr:rowOff>
    </xdr:from>
    <xdr:to>
      <xdr:col>15</xdr:col>
      <xdr:colOff>414617</xdr:colOff>
      <xdr:row>32</xdr:row>
      <xdr:rowOff>201705</xdr:rowOff>
    </xdr:to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22FC2FE4-A17B-4987-9412-E6ACA93B8C00}"/>
            </a:ext>
          </a:extLst>
        </xdr:cNvPr>
        <xdr:cNvSpPr/>
      </xdr:nvSpPr>
      <xdr:spPr>
        <a:xfrm>
          <a:off x="11715749" y="18901914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33</xdr:row>
      <xdr:rowOff>33617</xdr:rowOff>
    </xdr:from>
    <xdr:to>
      <xdr:col>14</xdr:col>
      <xdr:colOff>414618</xdr:colOff>
      <xdr:row>33</xdr:row>
      <xdr:rowOff>201705</xdr:rowOff>
    </xdr:to>
    <xdr:sp macro="" textlink="">
      <xdr:nvSpPr>
        <xdr:cNvPr id="269" name="Rectangle 268">
          <a:extLst>
            <a:ext uri="{FF2B5EF4-FFF2-40B4-BE49-F238E27FC236}">
              <a16:creationId xmlns:a16="http://schemas.microsoft.com/office/drawing/2014/main" id="{80A0F773-A19D-4C67-B107-3ED014B0C90C}"/>
            </a:ext>
          </a:extLst>
        </xdr:cNvPr>
        <xdr:cNvSpPr/>
      </xdr:nvSpPr>
      <xdr:spPr>
        <a:xfrm>
          <a:off x="11182350" y="1894953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33</xdr:row>
      <xdr:rowOff>33617</xdr:rowOff>
    </xdr:from>
    <xdr:to>
      <xdr:col>15</xdr:col>
      <xdr:colOff>414617</xdr:colOff>
      <xdr:row>33</xdr:row>
      <xdr:rowOff>201705</xdr:rowOff>
    </xdr:to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753A1ED4-EDFD-410D-95DD-0ED084E9743D}"/>
            </a:ext>
          </a:extLst>
        </xdr:cNvPr>
        <xdr:cNvSpPr/>
      </xdr:nvSpPr>
      <xdr:spPr>
        <a:xfrm>
          <a:off x="11715749" y="18949539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34</xdr:row>
      <xdr:rowOff>33617</xdr:rowOff>
    </xdr:from>
    <xdr:to>
      <xdr:col>14</xdr:col>
      <xdr:colOff>414618</xdr:colOff>
      <xdr:row>34</xdr:row>
      <xdr:rowOff>201705</xdr:rowOff>
    </xdr:to>
    <xdr:sp macro="" textlink="">
      <xdr:nvSpPr>
        <xdr:cNvPr id="271" name="Rectangle 270">
          <a:extLst>
            <a:ext uri="{FF2B5EF4-FFF2-40B4-BE49-F238E27FC236}">
              <a16:creationId xmlns:a16="http://schemas.microsoft.com/office/drawing/2014/main" id="{CDAE86B8-935F-4986-88AA-B6FAAFC15146}"/>
            </a:ext>
          </a:extLst>
        </xdr:cNvPr>
        <xdr:cNvSpPr/>
      </xdr:nvSpPr>
      <xdr:spPr>
        <a:xfrm>
          <a:off x="11182350" y="1897335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34</xdr:row>
      <xdr:rowOff>33617</xdr:rowOff>
    </xdr:from>
    <xdr:to>
      <xdr:col>15</xdr:col>
      <xdr:colOff>414617</xdr:colOff>
      <xdr:row>34</xdr:row>
      <xdr:rowOff>201705</xdr:rowOff>
    </xdr:to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05870846-8C6C-4407-93AB-CC7DACC3807A}"/>
            </a:ext>
          </a:extLst>
        </xdr:cNvPr>
        <xdr:cNvSpPr/>
      </xdr:nvSpPr>
      <xdr:spPr>
        <a:xfrm>
          <a:off x="11715749" y="18973351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22</xdr:row>
      <xdr:rowOff>33617</xdr:rowOff>
    </xdr:from>
    <xdr:to>
      <xdr:col>14</xdr:col>
      <xdr:colOff>414618</xdr:colOff>
      <xdr:row>22</xdr:row>
      <xdr:rowOff>201705</xdr:rowOff>
    </xdr:to>
    <xdr:sp macro="" textlink="">
      <xdr:nvSpPr>
        <xdr:cNvPr id="283" name="Rectangle 282">
          <a:extLst>
            <a:ext uri="{FF2B5EF4-FFF2-40B4-BE49-F238E27FC236}">
              <a16:creationId xmlns:a16="http://schemas.microsoft.com/office/drawing/2014/main" id="{F606D835-00BF-443A-961D-8A7DBF3BEF9D}"/>
            </a:ext>
          </a:extLst>
        </xdr:cNvPr>
        <xdr:cNvSpPr/>
      </xdr:nvSpPr>
      <xdr:spPr>
        <a:xfrm>
          <a:off x="11182350" y="1663972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190499</xdr:colOff>
      <xdr:row>22</xdr:row>
      <xdr:rowOff>33617</xdr:rowOff>
    </xdr:from>
    <xdr:to>
      <xdr:col>15</xdr:col>
      <xdr:colOff>414617</xdr:colOff>
      <xdr:row>22</xdr:row>
      <xdr:rowOff>201705</xdr:rowOff>
    </xdr:to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50379C74-EECD-4B04-97CC-95970537B8B2}"/>
            </a:ext>
          </a:extLst>
        </xdr:cNvPr>
        <xdr:cNvSpPr/>
      </xdr:nvSpPr>
      <xdr:spPr>
        <a:xfrm>
          <a:off x="11715749" y="16639726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18</xdr:row>
      <xdr:rowOff>33618</xdr:rowOff>
    </xdr:from>
    <xdr:to>
      <xdr:col>14</xdr:col>
      <xdr:colOff>414618</xdr:colOff>
      <xdr:row>18</xdr:row>
      <xdr:rowOff>201706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CD0FB0F-7E3C-447F-8C0A-D1AF69685D18}"/>
            </a:ext>
          </a:extLst>
        </xdr:cNvPr>
        <xdr:cNvSpPr/>
      </xdr:nvSpPr>
      <xdr:spPr>
        <a:xfrm>
          <a:off x="13256559" y="3933265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224118</xdr:colOff>
      <xdr:row>18</xdr:row>
      <xdr:rowOff>56029</xdr:rowOff>
    </xdr:from>
    <xdr:to>
      <xdr:col>15</xdr:col>
      <xdr:colOff>448236</xdr:colOff>
      <xdr:row>18</xdr:row>
      <xdr:rowOff>224117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C7865D4-9B7A-412E-99F2-FC88C0E9F590}"/>
            </a:ext>
          </a:extLst>
        </xdr:cNvPr>
        <xdr:cNvSpPr/>
      </xdr:nvSpPr>
      <xdr:spPr>
        <a:xfrm>
          <a:off x="13928912" y="3955676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201707</xdr:colOff>
      <xdr:row>35</xdr:row>
      <xdr:rowOff>33617</xdr:rowOff>
    </xdr:from>
    <xdr:to>
      <xdr:col>14</xdr:col>
      <xdr:colOff>425825</xdr:colOff>
      <xdr:row>35</xdr:row>
      <xdr:rowOff>201705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1A441BF-8D27-4806-AFC9-BCA0D68614A8}"/>
            </a:ext>
          </a:extLst>
        </xdr:cNvPr>
        <xdr:cNvSpPr/>
      </xdr:nvSpPr>
      <xdr:spPr>
        <a:xfrm>
          <a:off x="13267766" y="8057029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212912</xdr:colOff>
      <xdr:row>36</xdr:row>
      <xdr:rowOff>56029</xdr:rowOff>
    </xdr:from>
    <xdr:to>
      <xdr:col>14</xdr:col>
      <xdr:colOff>437030</xdr:colOff>
      <xdr:row>36</xdr:row>
      <xdr:rowOff>224117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26641DE-0437-4532-8811-53909E2DE826}"/>
            </a:ext>
          </a:extLst>
        </xdr:cNvPr>
        <xdr:cNvSpPr/>
      </xdr:nvSpPr>
      <xdr:spPr>
        <a:xfrm>
          <a:off x="13278971" y="8337176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201706</xdr:colOff>
      <xdr:row>37</xdr:row>
      <xdr:rowOff>44824</xdr:rowOff>
    </xdr:from>
    <xdr:to>
      <xdr:col>14</xdr:col>
      <xdr:colOff>425824</xdr:colOff>
      <xdr:row>37</xdr:row>
      <xdr:rowOff>212912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AD0D3AE-AF02-420B-B3B0-E711F7B7DCD8}"/>
            </a:ext>
          </a:extLst>
        </xdr:cNvPr>
        <xdr:cNvSpPr/>
      </xdr:nvSpPr>
      <xdr:spPr>
        <a:xfrm>
          <a:off x="13267765" y="8583706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201706</xdr:colOff>
      <xdr:row>38</xdr:row>
      <xdr:rowOff>33618</xdr:rowOff>
    </xdr:from>
    <xdr:to>
      <xdr:col>14</xdr:col>
      <xdr:colOff>425824</xdr:colOff>
      <xdr:row>38</xdr:row>
      <xdr:rowOff>201706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4867EE5-0EF4-44AA-B6CF-746DFFB5267B}"/>
            </a:ext>
          </a:extLst>
        </xdr:cNvPr>
        <xdr:cNvSpPr/>
      </xdr:nvSpPr>
      <xdr:spPr>
        <a:xfrm>
          <a:off x="13267765" y="8830236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212911</xdr:colOff>
      <xdr:row>35</xdr:row>
      <xdr:rowOff>56029</xdr:rowOff>
    </xdr:from>
    <xdr:to>
      <xdr:col>15</xdr:col>
      <xdr:colOff>437029</xdr:colOff>
      <xdr:row>35</xdr:row>
      <xdr:rowOff>224117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EBF4301-3D31-4691-9C67-3A2D464C7E92}"/>
            </a:ext>
          </a:extLst>
        </xdr:cNvPr>
        <xdr:cNvSpPr/>
      </xdr:nvSpPr>
      <xdr:spPr>
        <a:xfrm>
          <a:off x="13917705" y="8079441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201707</xdr:colOff>
      <xdr:row>38</xdr:row>
      <xdr:rowOff>44823</xdr:rowOff>
    </xdr:from>
    <xdr:to>
      <xdr:col>15</xdr:col>
      <xdr:colOff>425825</xdr:colOff>
      <xdr:row>38</xdr:row>
      <xdr:rowOff>212911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36FC6677-411F-47DB-99AA-4B2E92A42DCA}"/>
            </a:ext>
          </a:extLst>
        </xdr:cNvPr>
        <xdr:cNvSpPr/>
      </xdr:nvSpPr>
      <xdr:spPr>
        <a:xfrm>
          <a:off x="13906501" y="8841441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201706</xdr:colOff>
      <xdr:row>37</xdr:row>
      <xdr:rowOff>56029</xdr:rowOff>
    </xdr:from>
    <xdr:to>
      <xdr:col>15</xdr:col>
      <xdr:colOff>425824</xdr:colOff>
      <xdr:row>37</xdr:row>
      <xdr:rowOff>224117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A0DB514-D0F4-449E-9073-BB1849C3FEE9}"/>
            </a:ext>
          </a:extLst>
        </xdr:cNvPr>
        <xdr:cNvSpPr/>
      </xdr:nvSpPr>
      <xdr:spPr>
        <a:xfrm>
          <a:off x="13906500" y="8594911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197223</xdr:colOff>
      <xdr:row>36</xdr:row>
      <xdr:rowOff>51547</xdr:rowOff>
    </xdr:from>
    <xdr:to>
      <xdr:col>15</xdr:col>
      <xdr:colOff>421341</xdr:colOff>
      <xdr:row>36</xdr:row>
      <xdr:rowOff>219635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745A5677-AF7D-455E-B0F1-ED69E46AB48A}"/>
            </a:ext>
          </a:extLst>
        </xdr:cNvPr>
        <xdr:cNvSpPr/>
      </xdr:nvSpPr>
      <xdr:spPr>
        <a:xfrm>
          <a:off x="13902017" y="8332694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212911</xdr:colOff>
      <xdr:row>39</xdr:row>
      <xdr:rowOff>56029</xdr:rowOff>
    </xdr:from>
    <xdr:to>
      <xdr:col>14</xdr:col>
      <xdr:colOff>437029</xdr:colOff>
      <xdr:row>39</xdr:row>
      <xdr:rowOff>224117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56E736D5-BE08-4D9C-BD66-FE22B3CE47F1}"/>
            </a:ext>
          </a:extLst>
        </xdr:cNvPr>
        <xdr:cNvSpPr/>
      </xdr:nvSpPr>
      <xdr:spPr>
        <a:xfrm>
          <a:off x="13278970" y="911038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212912</xdr:colOff>
      <xdr:row>39</xdr:row>
      <xdr:rowOff>44824</xdr:rowOff>
    </xdr:from>
    <xdr:to>
      <xdr:col>15</xdr:col>
      <xdr:colOff>437030</xdr:colOff>
      <xdr:row>39</xdr:row>
      <xdr:rowOff>212912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8EDC352-FE66-484A-B3B9-286176EFA26E}"/>
            </a:ext>
          </a:extLst>
        </xdr:cNvPr>
        <xdr:cNvSpPr/>
      </xdr:nvSpPr>
      <xdr:spPr>
        <a:xfrm>
          <a:off x="13917706" y="9099177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212912</xdr:colOff>
      <xdr:row>40</xdr:row>
      <xdr:rowOff>44824</xdr:rowOff>
    </xdr:from>
    <xdr:to>
      <xdr:col>14</xdr:col>
      <xdr:colOff>437030</xdr:colOff>
      <xdr:row>40</xdr:row>
      <xdr:rowOff>212912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DF054B0-E0BC-48B7-9FD0-57B74C5484B1}"/>
            </a:ext>
          </a:extLst>
        </xdr:cNvPr>
        <xdr:cNvSpPr/>
      </xdr:nvSpPr>
      <xdr:spPr>
        <a:xfrm>
          <a:off x="13278971" y="9356912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201706</xdr:colOff>
      <xdr:row>40</xdr:row>
      <xdr:rowOff>44823</xdr:rowOff>
    </xdr:from>
    <xdr:to>
      <xdr:col>15</xdr:col>
      <xdr:colOff>425824</xdr:colOff>
      <xdr:row>40</xdr:row>
      <xdr:rowOff>212911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43A300E-1F36-4268-BD6F-1A3CA1FAB8EC}"/>
            </a:ext>
          </a:extLst>
        </xdr:cNvPr>
        <xdr:cNvSpPr/>
      </xdr:nvSpPr>
      <xdr:spPr>
        <a:xfrm>
          <a:off x="13906500" y="9356911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190500</xdr:colOff>
      <xdr:row>21</xdr:row>
      <xdr:rowOff>22412</xdr:rowOff>
    </xdr:from>
    <xdr:to>
      <xdr:col>14</xdr:col>
      <xdr:colOff>414618</xdr:colOff>
      <xdr:row>21</xdr:row>
      <xdr:rowOff>190500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DC2ECFDD-3A6A-4424-9BAB-7869C09C089F}"/>
            </a:ext>
          </a:extLst>
        </xdr:cNvPr>
        <xdr:cNvSpPr/>
      </xdr:nvSpPr>
      <xdr:spPr>
        <a:xfrm>
          <a:off x="13256559" y="4695265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179294</xdr:colOff>
      <xdr:row>21</xdr:row>
      <xdr:rowOff>44823</xdr:rowOff>
    </xdr:from>
    <xdr:to>
      <xdr:col>15</xdr:col>
      <xdr:colOff>403412</xdr:colOff>
      <xdr:row>21</xdr:row>
      <xdr:rowOff>212911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0AF0FB3-74CE-4A6A-81EF-5A12D9E4F41B}"/>
            </a:ext>
          </a:extLst>
        </xdr:cNvPr>
        <xdr:cNvSpPr/>
      </xdr:nvSpPr>
      <xdr:spPr>
        <a:xfrm>
          <a:off x="13884088" y="4717676"/>
          <a:ext cx="224118" cy="16808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Somdej.Pha/Desktop/STOCK%20%2021.03.2018.xls" TargetMode="External"/><Relationship Id="rId1" Type="http://schemas.openxmlformats.org/officeDocument/2006/relationships/externalLinkPath" Target="/Users/Somdej.Pha/Desktop/STOCK%20%2021.03.2018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Somdej.Pha/Desktop/STOCK%20%2019.09.2017.xls" TargetMode="External"/><Relationship Id="rId1" Type="http://schemas.openxmlformats.org/officeDocument/2006/relationships/externalLinkPath" Target="/Users/Somdej.Pha/Desktop/STOCK%20%2019.09.20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OCK  21.03.2018"/>
    </sheetNames>
    <sheetDataSet>
      <sheetData sheetId="0">
        <row r="6">
          <cell r="F6">
            <v>30002796</v>
          </cell>
          <cell r="G6" t="str">
            <v>CROSS TUBE 2 (5YP-F1197-00)</v>
          </cell>
          <cell r="H6">
            <v>100</v>
          </cell>
        </row>
        <row r="7">
          <cell r="F7">
            <v>30002797</v>
          </cell>
          <cell r="G7" t="str">
            <v>PIPE 4 (5YP-F116Y-00)</v>
          </cell>
          <cell r="H7">
            <v>50</v>
          </cell>
        </row>
        <row r="8">
          <cell r="F8">
            <v>30002798</v>
          </cell>
          <cell r="G8" t="str">
            <v>PIPE 3 (5YP-F116X-00)</v>
          </cell>
          <cell r="H8">
            <v>50</v>
          </cell>
        </row>
        <row r="9">
          <cell r="F9">
            <v>30002878</v>
          </cell>
          <cell r="G9" t="str">
            <v>PIPE MAIN (5YP-F1115-00)</v>
          </cell>
          <cell r="H9">
            <v>33</v>
          </cell>
        </row>
        <row r="10">
          <cell r="F10">
            <v>30003332</v>
          </cell>
          <cell r="G10" t="str">
            <v>BACK STAY RH (5VV-F1124-00)</v>
          </cell>
          <cell r="H10">
            <v>146</v>
          </cell>
        </row>
        <row r="11">
          <cell r="F11">
            <v>30003334</v>
          </cell>
          <cell r="G11" t="str">
            <v>PIPE HANDLE (53100-KTL-8500-01)</v>
          </cell>
          <cell r="H11">
            <v>80</v>
          </cell>
        </row>
        <row r="12">
          <cell r="F12">
            <v>30003558</v>
          </cell>
          <cell r="G12" t="str">
            <v>PIPE 2 (5MY-E4872-11-01)</v>
          </cell>
          <cell r="H12">
            <v>20</v>
          </cell>
        </row>
        <row r="13">
          <cell r="F13">
            <v>30007742</v>
          </cell>
          <cell r="G13" t="str">
            <v>PIPE MIDDLE CROSS(32154-0684)</v>
          </cell>
          <cell r="H13">
            <v>400</v>
          </cell>
        </row>
        <row r="14">
          <cell r="F14">
            <v>30013017</v>
          </cell>
          <cell r="G14" t="str">
            <v>PIPECOMP,L SEAT RAIL (50114-KPP-T002-H1)</v>
          </cell>
          <cell r="H14">
            <v>550</v>
          </cell>
        </row>
        <row r="15">
          <cell r="F15">
            <v>30013036</v>
          </cell>
          <cell r="G15" t="str">
            <v>PIPE,R LOWER (50115-KPP-T000-20)</v>
          </cell>
          <cell r="H15">
            <v>450</v>
          </cell>
        </row>
        <row r="16">
          <cell r="F16">
            <v>30013037</v>
          </cell>
          <cell r="G16" t="str">
            <v>PIPE COMP,R SEAT RAIL(50113-KPP-T002-H1)</v>
          </cell>
          <cell r="H16">
            <v>350</v>
          </cell>
        </row>
        <row r="17">
          <cell r="F17">
            <v>30013442</v>
          </cell>
          <cell r="G17" t="str">
            <v>PIPE COMP,L LOWER (50116-KPP-T000-H1)</v>
          </cell>
          <cell r="H17">
            <v>300</v>
          </cell>
        </row>
        <row r="18">
          <cell r="F18">
            <v>30015308</v>
          </cell>
          <cell r="G18" t="str">
            <v>PIPE, LOWER CROSS (50103-KZL-9301-H1)</v>
          </cell>
          <cell r="H18">
            <v>50</v>
          </cell>
        </row>
        <row r="19">
          <cell r="F19">
            <v>30015322</v>
          </cell>
          <cell r="G19" t="str">
            <v>PIPE (50107-KZL-9300-21)</v>
          </cell>
          <cell r="H19">
            <v>162</v>
          </cell>
        </row>
        <row r="20">
          <cell r="F20">
            <v>30015375</v>
          </cell>
          <cell r="G20" t="str">
            <v>PIPE HANDLE (53100-KZV-T000-20)</v>
          </cell>
          <cell r="H20">
            <v>600</v>
          </cell>
        </row>
        <row r="21">
          <cell r="F21">
            <v>30020399</v>
          </cell>
          <cell r="G21" t="str">
            <v>BL-BRKT SIDE STEP R/L (96176JR000-07BE)</v>
          </cell>
          <cell r="H21">
            <v>2976</v>
          </cell>
        </row>
        <row r="22">
          <cell r="F22">
            <v>30020747</v>
          </cell>
          <cell r="G22" t="str">
            <v>PIPE L SWINGARM COMP (52126-KPH-7100-H1)</v>
          </cell>
          <cell r="H22">
            <v>24</v>
          </cell>
        </row>
        <row r="23">
          <cell r="F23">
            <v>30020748</v>
          </cell>
          <cell r="G23" t="str">
            <v>PIPE R SWINGARM COMP (52121-KPH-7100-H1)</v>
          </cell>
          <cell r="H23">
            <v>24</v>
          </cell>
        </row>
        <row r="24">
          <cell r="F24">
            <v>30021205</v>
          </cell>
          <cell r="G24" t="str">
            <v>PIPE MAIN(54S-F1115-00)</v>
          </cell>
          <cell r="H24">
            <v>40</v>
          </cell>
        </row>
        <row r="25">
          <cell r="F25">
            <v>30021399</v>
          </cell>
          <cell r="G25" t="str">
            <v>PIPE FRAME MAIN (50126-KYZ-9000-H1)</v>
          </cell>
          <cell r="H25">
            <v>400</v>
          </cell>
        </row>
        <row r="26">
          <cell r="F26">
            <v>30021459</v>
          </cell>
          <cell r="G26" t="str">
            <v>PIPE BRAKE (46500-GN5-9000)(GN5)</v>
          </cell>
          <cell r="H26">
            <v>10</v>
          </cell>
        </row>
        <row r="27">
          <cell r="F27">
            <v>30021462</v>
          </cell>
          <cell r="G27" t="str">
            <v>PIPE BRAKE (46500-KEV-9000-01)</v>
          </cell>
          <cell r="H27">
            <v>50</v>
          </cell>
        </row>
        <row r="28">
          <cell r="F28">
            <v>30021464</v>
          </cell>
          <cell r="G28" t="str">
            <v>PIPE BRAKE (46500-KPH-9000)</v>
          </cell>
          <cell r="H28">
            <v>400</v>
          </cell>
        </row>
        <row r="29">
          <cell r="F29">
            <v>30021465</v>
          </cell>
          <cell r="G29" t="str">
            <v>PIPE BRAKE (46500-KPW-9000)</v>
          </cell>
          <cell r="H29">
            <v>680</v>
          </cell>
        </row>
        <row r="30">
          <cell r="F30">
            <v>30021466</v>
          </cell>
          <cell r="G30" t="str">
            <v>PIPE HANDLE (53100-KWW-6400-20)</v>
          </cell>
          <cell r="H30">
            <v>2700</v>
          </cell>
        </row>
        <row r="31">
          <cell r="F31">
            <v>30021483</v>
          </cell>
          <cell r="G31" t="str">
            <v>TUBE SWINGING ARM RH (2059576)</v>
          </cell>
          <cell r="H31">
            <v>298</v>
          </cell>
        </row>
        <row r="32">
          <cell r="F32">
            <v>30021485</v>
          </cell>
          <cell r="G32" t="str">
            <v>TUBE SWINGING ARM LH (2059575)</v>
          </cell>
          <cell r="H32">
            <v>227</v>
          </cell>
        </row>
        <row r="33">
          <cell r="F33">
            <v>30022360</v>
          </cell>
          <cell r="G33" t="str">
            <v>DOWN TUBE 1 (2CM-F1191-00)</v>
          </cell>
          <cell r="H33">
            <v>108</v>
          </cell>
        </row>
        <row r="34">
          <cell r="F34">
            <v>30022368</v>
          </cell>
          <cell r="G34" t="str">
            <v>DOWN TUBE 2 (2CM-F1192-00)</v>
          </cell>
          <cell r="H34">
            <v>77</v>
          </cell>
        </row>
        <row r="35">
          <cell r="F35">
            <v>30022380</v>
          </cell>
          <cell r="G35" t="str">
            <v>DOWN TUBE 3 (2CM-F119K-00)</v>
          </cell>
          <cell r="H35">
            <v>34</v>
          </cell>
        </row>
        <row r="36">
          <cell r="F36">
            <v>30022917</v>
          </cell>
          <cell r="G36" t="str">
            <v>PIPE L MAIN (50103-KZZ-9001-H1)</v>
          </cell>
          <cell r="H36">
            <v>294</v>
          </cell>
        </row>
        <row r="37">
          <cell r="F37">
            <v>30023365</v>
          </cell>
          <cell r="G37" t="str">
            <v>PIPE (32154-1297)</v>
          </cell>
          <cell r="H37">
            <v>400</v>
          </cell>
        </row>
        <row r="38">
          <cell r="F38">
            <v>30032464</v>
          </cell>
          <cell r="G38" t="str">
            <v>ARM SUB COMP.,1(ASSY)(1FP-F2130-00)_1FPG</v>
          </cell>
          <cell r="H38">
            <v>500</v>
          </cell>
        </row>
        <row r="39">
          <cell r="F39">
            <v>30032465</v>
          </cell>
          <cell r="G39" t="str">
            <v>ARM SUB COMP.,2(ASSY)(1FP-F2140-00)_1FPG</v>
          </cell>
          <cell r="H39">
            <v>500</v>
          </cell>
        </row>
        <row r="40">
          <cell r="F40">
            <v>30032987</v>
          </cell>
          <cell r="G40" t="str">
            <v>PIPE L SWINGARM COMP (52126-KPW-9001-01)</v>
          </cell>
          <cell r="H40">
            <v>100</v>
          </cell>
        </row>
        <row r="41">
          <cell r="F41">
            <v>40000359</v>
          </cell>
          <cell r="G41" t="str">
            <v>SPCC 0.80 X 935 X 412.8 (DAIKIN AIR)</v>
          </cell>
          <cell r="H41">
            <v>135</v>
          </cell>
        </row>
        <row r="42">
          <cell r="F42">
            <v>50000195</v>
          </cell>
          <cell r="G42" t="str">
            <v>SPCEN 2.30 X 290 X COIL</v>
          </cell>
          <cell r="H42">
            <v>904</v>
          </cell>
        </row>
        <row r="43">
          <cell r="F43">
            <v>50000317</v>
          </cell>
          <cell r="G43" t="str">
            <v>STAM390GA(IBC) OD25.4 X 1.4T X 1760</v>
          </cell>
          <cell r="H43">
            <v>300</v>
          </cell>
        </row>
        <row r="44">
          <cell r="F44">
            <v>50000354</v>
          </cell>
          <cell r="G44" t="str">
            <v>STKM11A OD22.2 X 2.6T X 696</v>
          </cell>
          <cell r="H44">
            <v>200</v>
          </cell>
        </row>
        <row r="45">
          <cell r="F45">
            <v>50000362</v>
          </cell>
          <cell r="G45" t="str">
            <v>STKM11A(IBC) OD22.2 X 2.0T X 677+0.5-0</v>
          </cell>
          <cell r="H45">
            <v>300</v>
          </cell>
        </row>
        <row r="46">
          <cell r="F46">
            <v>50000390</v>
          </cell>
          <cell r="G46" t="str">
            <v>STKM13B(IBC) OD25.4 X 2.6T X 325</v>
          </cell>
          <cell r="H46">
            <v>40</v>
          </cell>
        </row>
        <row r="47">
          <cell r="F47">
            <v>50000419</v>
          </cell>
          <cell r="G47" t="str">
            <v>STKM11A(IBC) OD34.0 X 2.0T X 220</v>
          </cell>
          <cell r="H47">
            <v>4</v>
          </cell>
        </row>
        <row r="48">
          <cell r="F48">
            <v>50000427</v>
          </cell>
          <cell r="G48" t="str">
            <v>STKM11A(IBC) OD38.1 X 2.3T X 264</v>
          </cell>
          <cell r="H48">
            <v>42</v>
          </cell>
        </row>
        <row r="49">
          <cell r="F49">
            <v>50000473</v>
          </cell>
          <cell r="G49" t="str">
            <v>STKM11A(IBC) 40 X 20 X 1.6T X 410</v>
          </cell>
          <cell r="H49">
            <v>608</v>
          </cell>
        </row>
        <row r="50">
          <cell r="F50">
            <v>50000498</v>
          </cell>
          <cell r="G50" t="str">
            <v>STKM11A(IBC) 40 X 25 X 2.0T X 479</v>
          </cell>
          <cell r="H50">
            <v>330</v>
          </cell>
        </row>
        <row r="51">
          <cell r="F51">
            <v>50000517</v>
          </cell>
          <cell r="G51" t="str">
            <v>SPFH 590 P/O 1.60 X 250 X 510</v>
          </cell>
          <cell r="H51">
            <v>200</v>
          </cell>
        </row>
        <row r="52">
          <cell r="F52">
            <v>50000637</v>
          </cell>
          <cell r="G52" t="str">
            <v>JSC270C 0.60 X 1110 X 155</v>
          </cell>
          <cell r="H52">
            <v>150</v>
          </cell>
        </row>
        <row r="53">
          <cell r="F53">
            <v>50000638</v>
          </cell>
          <cell r="G53" t="str">
            <v>JSC270C 0.60 X 1130 X 205</v>
          </cell>
          <cell r="H53">
            <v>690</v>
          </cell>
        </row>
        <row r="54">
          <cell r="F54">
            <v>50000639</v>
          </cell>
          <cell r="G54" t="str">
            <v>JSC270C 0.70 X 260 X 1030</v>
          </cell>
          <cell r="H54">
            <v>400</v>
          </cell>
        </row>
        <row r="55">
          <cell r="F55">
            <v>50001241</v>
          </cell>
          <cell r="G55" t="str">
            <v>SPC1 1.00 X 190 X 1165</v>
          </cell>
          <cell r="H55">
            <v>39</v>
          </cell>
        </row>
        <row r="56">
          <cell r="F56">
            <v>50001245</v>
          </cell>
          <cell r="G56" t="str">
            <v>SPC1M-45/45 1.20 X 169 X 1219</v>
          </cell>
          <cell r="H56">
            <v>45</v>
          </cell>
        </row>
        <row r="57">
          <cell r="F57">
            <v>50001246</v>
          </cell>
          <cell r="G57" t="str">
            <v>SPC1M-45/45 1.20 X 240 X 1219</v>
          </cell>
          <cell r="H57">
            <v>25</v>
          </cell>
        </row>
        <row r="58">
          <cell r="F58">
            <v>50001285</v>
          </cell>
          <cell r="G58" t="str">
            <v>SPCC 0.60 X 300 X 565</v>
          </cell>
          <cell r="H58">
            <v>3000</v>
          </cell>
        </row>
        <row r="59">
          <cell r="F59">
            <v>50001290</v>
          </cell>
          <cell r="G59" t="str">
            <v>SPCC 0.60 X 300 X 580</v>
          </cell>
          <cell r="H59">
            <v>3000</v>
          </cell>
        </row>
        <row r="60">
          <cell r="F60">
            <v>50001295</v>
          </cell>
          <cell r="G60" t="str">
            <v>SPCC 0.60 X 305 X 605</v>
          </cell>
          <cell r="H60">
            <v>3000</v>
          </cell>
        </row>
        <row r="61">
          <cell r="F61">
            <v>50001512</v>
          </cell>
          <cell r="G61" t="str">
            <v>SPCC 1.20 X 384 X 345</v>
          </cell>
          <cell r="H61">
            <v>1000</v>
          </cell>
        </row>
        <row r="62">
          <cell r="F62">
            <v>50001513</v>
          </cell>
          <cell r="G62" t="str">
            <v>SPCC 1.20 X 310 X 385</v>
          </cell>
          <cell r="H62">
            <v>800</v>
          </cell>
        </row>
        <row r="63">
          <cell r="F63">
            <v>50001527</v>
          </cell>
          <cell r="G63" t="str">
            <v>SPCC 1.20 X 420 X 610</v>
          </cell>
          <cell r="H63">
            <v>20</v>
          </cell>
        </row>
        <row r="64">
          <cell r="F64">
            <v>50001626</v>
          </cell>
          <cell r="G64" t="str">
            <v>SPCC 2.00 X 470 X 1060</v>
          </cell>
          <cell r="H64">
            <v>100</v>
          </cell>
        </row>
        <row r="65">
          <cell r="F65">
            <v>50001647</v>
          </cell>
          <cell r="G65" t="str">
            <v>SPCC 2.00 X 309 X 1219</v>
          </cell>
          <cell r="H65">
            <v>32</v>
          </cell>
        </row>
        <row r="66">
          <cell r="F66">
            <v>50001660</v>
          </cell>
          <cell r="G66" t="str">
            <v>SPCC 2.00 X 365 X 1080</v>
          </cell>
          <cell r="H66">
            <v>40</v>
          </cell>
        </row>
        <row r="67">
          <cell r="F67">
            <v>50001667</v>
          </cell>
          <cell r="G67" t="str">
            <v>PCC 2.30 X 65 X 1219 (KB)</v>
          </cell>
          <cell r="H67">
            <v>16</v>
          </cell>
        </row>
        <row r="68">
          <cell r="F68">
            <v>50001713</v>
          </cell>
          <cell r="G68" t="str">
            <v>SPCC 2.60 X 255 X 400</v>
          </cell>
          <cell r="H68">
            <v>400</v>
          </cell>
        </row>
        <row r="69">
          <cell r="F69">
            <v>50001714</v>
          </cell>
          <cell r="G69" t="str">
            <v>SPCC 2.60 X 330 X 1219</v>
          </cell>
          <cell r="H69">
            <v>33</v>
          </cell>
        </row>
        <row r="70">
          <cell r="F70">
            <v>50001825</v>
          </cell>
          <cell r="G70" t="str">
            <v>SPCEN-SD 0.90 X 750 X 1150</v>
          </cell>
          <cell r="H70">
            <v>100</v>
          </cell>
        </row>
        <row r="71">
          <cell r="F71">
            <v>50001827</v>
          </cell>
          <cell r="G71" t="str">
            <v>SPCEN-SD 0.90 X 150 X 1219</v>
          </cell>
          <cell r="H71">
            <v>50</v>
          </cell>
        </row>
        <row r="72">
          <cell r="F72">
            <v>50001835</v>
          </cell>
          <cell r="G72" t="str">
            <v>SPCEN 1.00 X 420 X 420</v>
          </cell>
          <cell r="H72">
            <v>600</v>
          </cell>
        </row>
        <row r="73">
          <cell r="F73">
            <v>50001840</v>
          </cell>
          <cell r="G73" t="str">
            <v>SPCEN 1.00 X 470 X 470</v>
          </cell>
          <cell r="H73">
            <v>100</v>
          </cell>
        </row>
        <row r="74">
          <cell r="F74">
            <v>50001841</v>
          </cell>
          <cell r="G74" t="str">
            <v>SPCEN 1.00 X 550 X 560</v>
          </cell>
          <cell r="H74">
            <v>600</v>
          </cell>
        </row>
        <row r="75">
          <cell r="F75">
            <v>50001860</v>
          </cell>
          <cell r="G75" t="str">
            <v>SPCEN 1.00 X 510 X 525</v>
          </cell>
          <cell r="H75">
            <v>1000</v>
          </cell>
        </row>
        <row r="76">
          <cell r="F76">
            <v>50001871</v>
          </cell>
          <cell r="G76" t="str">
            <v>SPCEN 1.00 X 380 X 420</v>
          </cell>
          <cell r="H76">
            <v>1200</v>
          </cell>
        </row>
        <row r="77">
          <cell r="F77">
            <v>50001897</v>
          </cell>
          <cell r="G77" t="str">
            <v>SPCEN 1.60 X 215 X 555</v>
          </cell>
          <cell r="H77">
            <v>760</v>
          </cell>
        </row>
        <row r="78">
          <cell r="F78">
            <v>50001903</v>
          </cell>
          <cell r="G78" t="str">
            <v>SPCEN 1.60 X 440 X 440</v>
          </cell>
          <cell r="H78">
            <v>184</v>
          </cell>
        </row>
        <row r="79">
          <cell r="F79">
            <v>50001920</v>
          </cell>
          <cell r="G79" t="str">
            <v>SPFH 590 P/O(RHA590 P/O) 1.60X315X635</v>
          </cell>
          <cell r="H79">
            <v>200</v>
          </cell>
        </row>
        <row r="80">
          <cell r="F80">
            <v>50001921</v>
          </cell>
          <cell r="G80" t="str">
            <v>SPFH 590 P/O(RHA590 P/O) 1.60X275X450</v>
          </cell>
          <cell r="H80">
            <v>200</v>
          </cell>
        </row>
        <row r="81">
          <cell r="F81">
            <v>50001964</v>
          </cell>
          <cell r="G81" t="str">
            <v>SPHC P/O 1.20 X 60 X 1219</v>
          </cell>
          <cell r="H81">
            <v>141</v>
          </cell>
        </row>
        <row r="82">
          <cell r="F82">
            <v>50002067</v>
          </cell>
          <cell r="G82" t="str">
            <v>SPHC-DS 2.00 X 67 X 1219</v>
          </cell>
          <cell r="H82">
            <v>11</v>
          </cell>
        </row>
        <row r="83">
          <cell r="F83">
            <v>50002068</v>
          </cell>
          <cell r="G83" t="str">
            <v>SPHC-DS 2.00 X 275 X 1219</v>
          </cell>
          <cell r="H83">
            <v>100</v>
          </cell>
        </row>
        <row r="84">
          <cell r="F84">
            <v>50002213</v>
          </cell>
          <cell r="G84" t="str">
            <v>SPHC P/O 2.30 X 222 X 1219</v>
          </cell>
          <cell r="H84">
            <v>18</v>
          </cell>
        </row>
        <row r="85">
          <cell r="F85">
            <v>50002233</v>
          </cell>
          <cell r="G85" t="str">
            <v>SPHC-DS 2.60 X 95 X 1219</v>
          </cell>
          <cell r="H85">
            <v>180</v>
          </cell>
        </row>
        <row r="86">
          <cell r="F86">
            <v>50002259</v>
          </cell>
          <cell r="G86" t="str">
            <v>SPHC-DS 3.20 X 174 X 1110</v>
          </cell>
          <cell r="H86">
            <v>100</v>
          </cell>
        </row>
        <row r="87">
          <cell r="F87">
            <v>50002263</v>
          </cell>
          <cell r="G87" t="str">
            <v>SPHC-DS 3.20 X 230 X 1219</v>
          </cell>
          <cell r="H87">
            <v>100</v>
          </cell>
        </row>
        <row r="88">
          <cell r="F88">
            <v>50002318</v>
          </cell>
          <cell r="G88" t="str">
            <v>SPHC-DS 3.20 X 169 X 1219</v>
          </cell>
          <cell r="H88">
            <v>50</v>
          </cell>
        </row>
        <row r="89">
          <cell r="F89">
            <v>50002338</v>
          </cell>
          <cell r="G89" t="str">
            <v>SPHC P/O 4.00 X 470 X 1219</v>
          </cell>
          <cell r="H89">
            <v>98</v>
          </cell>
        </row>
        <row r="90">
          <cell r="F90">
            <v>50002427</v>
          </cell>
          <cell r="G90" t="str">
            <v>SPHC 7.00 X 160 X 609</v>
          </cell>
          <cell r="H90">
            <v>50</v>
          </cell>
        </row>
        <row r="91">
          <cell r="F91">
            <v>50002428</v>
          </cell>
          <cell r="G91" t="str">
            <v>SPHC 7.00 X 170 X 609</v>
          </cell>
          <cell r="H91">
            <v>50</v>
          </cell>
        </row>
        <row r="92">
          <cell r="F92">
            <v>50002924</v>
          </cell>
          <cell r="G92" t="str">
            <v>JAC270F 35/35 1.60 X 290 X 730</v>
          </cell>
          <cell r="H92">
            <v>150</v>
          </cell>
        </row>
        <row r="93">
          <cell r="F93">
            <v>50003241</v>
          </cell>
          <cell r="G93" t="str">
            <v>SPCP1 3P/3P 1.20 X 265 X 1162</v>
          </cell>
          <cell r="H93">
            <v>12</v>
          </cell>
        </row>
        <row r="94">
          <cell r="F94">
            <v>50003250</v>
          </cell>
          <cell r="G94" t="str">
            <v>SPHC-DS 2.00 X 185 X 1219</v>
          </cell>
          <cell r="H94">
            <v>72</v>
          </cell>
        </row>
        <row r="95">
          <cell r="F95">
            <v>50003302</v>
          </cell>
          <cell r="G95" t="str">
            <v>SUS436L 1.50 X 130 X 245</v>
          </cell>
          <cell r="H95">
            <v>600</v>
          </cell>
        </row>
        <row r="96">
          <cell r="F96">
            <v>50003349</v>
          </cell>
          <cell r="G96" t="str">
            <v>STKM11A OD21.7 X 3.5T X 158.5</v>
          </cell>
          <cell r="H96">
            <v>2200</v>
          </cell>
        </row>
        <row r="97">
          <cell r="F97">
            <v>50003355</v>
          </cell>
          <cell r="G97" t="str">
            <v>STAM290GA(N-1BC)22.2 x 3.2t x 154.5</v>
          </cell>
          <cell r="H97">
            <v>1000</v>
          </cell>
        </row>
        <row r="98">
          <cell r="F98">
            <v>50003546</v>
          </cell>
          <cell r="G98" t="str">
            <v>SPHC-DS 2.9 X 180 X 1219</v>
          </cell>
          <cell r="H98">
            <v>14</v>
          </cell>
        </row>
        <row r="99">
          <cell r="F99">
            <v>50003588</v>
          </cell>
          <cell r="G99" t="str">
            <v>SPHC P/O 2.30 X 290 X COIL</v>
          </cell>
          <cell r="H99">
            <v>4628</v>
          </cell>
        </row>
        <row r="100">
          <cell r="F100">
            <v>50003608</v>
          </cell>
          <cell r="G100" t="str">
            <v>SPHC-DS 2.0 X 86 X 1219</v>
          </cell>
          <cell r="H100">
            <v>50</v>
          </cell>
        </row>
        <row r="101">
          <cell r="F101">
            <v>50003609</v>
          </cell>
          <cell r="G101" t="str">
            <v>SPHC-DS 1.6 X 210 X 258</v>
          </cell>
          <cell r="H101">
            <v>6</v>
          </cell>
        </row>
        <row r="102">
          <cell r="F102">
            <v>50003644</v>
          </cell>
          <cell r="G102" t="str">
            <v>SUS304-2B OD 22.2 X 1.2T X 135</v>
          </cell>
          <cell r="H102">
            <v>2000</v>
          </cell>
        </row>
        <row r="103">
          <cell r="F103">
            <v>50003689</v>
          </cell>
          <cell r="G103" t="str">
            <v>SPCEN-SD 0.9 X 600 X 980</v>
          </cell>
          <cell r="H103">
            <v>116</v>
          </cell>
        </row>
        <row r="104">
          <cell r="F104">
            <v>50003985</v>
          </cell>
          <cell r="G104" t="str">
            <v>STKM11A (IBC) OD 48.6 X 3.5 X 196</v>
          </cell>
          <cell r="H104">
            <v>1600</v>
          </cell>
        </row>
        <row r="105">
          <cell r="F105">
            <v>50004087</v>
          </cell>
          <cell r="G105" t="str">
            <v>SP222PQ 3.20 X 308 X COIL</v>
          </cell>
          <cell r="H105">
            <v>1834</v>
          </cell>
        </row>
        <row r="106">
          <cell r="F106">
            <v>50004206</v>
          </cell>
          <cell r="G106" t="str">
            <v>SUS304-2B 1.00 X 250 X 360</v>
          </cell>
          <cell r="H106">
            <v>250</v>
          </cell>
        </row>
        <row r="107">
          <cell r="F107">
            <v>50004415</v>
          </cell>
          <cell r="G107" t="str">
            <v>SPCEN 0.80 X 400 X 420</v>
          </cell>
          <cell r="H107">
            <v>312</v>
          </cell>
        </row>
        <row r="108">
          <cell r="F108">
            <v>50004450</v>
          </cell>
          <cell r="G108" t="str">
            <v>HST60H(IBC) OD 22.2 X 2T X 782</v>
          </cell>
          <cell r="H108">
            <v>400</v>
          </cell>
        </row>
        <row r="109">
          <cell r="F109">
            <v>50004923</v>
          </cell>
          <cell r="G109" t="str">
            <v>HTB617 (IBC) OD 28.6 X 1.4T X 404 (KB)</v>
          </cell>
          <cell r="H109">
            <v>500</v>
          </cell>
        </row>
        <row r="110">
          <cell r="F110">
            <v>50004926</v>
          </cell>
          <cell r="G110" t="str">
            <v>HTB617(IBC) OD28.6 X 1.4 T X 497 (KB)</v>
          </cell>
          <cell r="H110">
            <v>961</v>
          </cell>
        </row>
        <row r="111">
          <cell r="F111">
            <v>50005223</v>
          </cell>
          <cell r="G111" t="str">
            <v>SPCEN-SD 1.2x560x1170(KB)</v>
          </cell>
          <cell r="H111">
            <v>280</v>
          </cell>
        </row>
        <row r="112">
          <cell r="F112">
            <v>50005546</v>
          </cell>
          <cell r="G112" t="str">
            <v>SPFH590 P/O 3.20 X 238 X 340</v>
          </cell>
          <cell r="H112">
            <v>110</v>
          </cell>
        </row>
        <row r="113">
          <cell r="F113">
            <v>50006674</v>
          </cell>
          <cell r="G113" t="str">
            <v>STKM11A(IBC) OD 25.4 X 1.2T X 325</v>
          </cell>
          <cell r="H113">
            <v>200</v>
          </cell>
        </row>
        <row r="114">
          <cell r="F114">
            <v>50006675</v>
          </cell>
          <cell r="G114" t="str">
            <v>STKM11A(IBC) OD 25.4 X 1.2T X 350</v>
          </cell>
          <cell r="H114">
            <v>200</v>
          </cell>
        </row>
        <row r="115">
          <cell r="F115">
            <v>50008038</v>
          </cell>
          <cell r="G115" t="str">
            <v>SPCC 0.80 X 100 x 315</v>
          </cell>
          <cell r="H115">
            <v>8000</v>
          </cell>
        </row>
        <row r="116">
          <cell r="F116">
            <v>50008140</v>
          </cell>
          <cell r="G116" t="str">
            <v>SPHC-DS 2.60 X 153 X 1219</v>
          </cell>
          <cell r="H116">
            <v>100</v>
          </cell>
        </row>
        <row r="117">
          <cell r="F117">
            <v>50008142</v>
          </cell>
          <cell r="G117" t="str">
            <v>SPHC-DS 2.60 X 107 X 1219</v>
          </cell>
          <cell r="H117">
            <v>15</v>
          </cell>
        </row>
        <row r="118">
          <cell r="F118">
            <v>50008264</v>
          </cell>
          <cell r="G118" t="str">
            <v>SPHC P/O 2.30 X 510 X 390</v>
          </cell>
          <cell r="H118">
            <v>100</v>
          </cell>
        </row>
        <row r="119">
          <cell r="F119">
            <v>50008265</v>
          </cell>
          <cell r="G119" t="str">
            <v>SPHC P/O 6.00 X 32 X 364</v>
          </cell>
          <cell r="H119">
            <v>300</v>
          </cell>
        </row>
        <row r="120">
          <cell r="F120">
            <v>50008268</v>
          </cell>
          <cell r="G120" t="str">
            <v>SS400 6.00 X 100 X 420</v>
          </cell>
          <cell r="H120">
            <v>400</v>
          </cell>
        </row>
        <row r="121">
          <cell r="F121">
            <v>50008273</v>
          </cell>
          <cell r="G121" t="str">
            <v>SPHC P/O 4.50 X 62 X 1300</v>
          </cell>
          <cell r="H121">
            <v>800</v>
          </cell>
        </row>
        <row r="122">
          <cell r="F122">
            <v>50008296</v>
          </cell>
          <cell r="G122" t="str">
            <v>SPHC-DS 2.60 X 415 X 1219</v>
          </cell>
          <cell r="H122">
            <v>200</v>
          </cell>
        </row>
        <row r="123">
          <cell r="F123">
            <v>50008557</v>
          </cell>
          <cell r="G123" t="str">
            <v>STKM11A OD 31.8 X 1.2T X 43.50</v>
          </cell>
          <cell r="H123">
            <v>9534</v>
          </cell>
        </row>
        <row r="124">
          <cell r="F124">
            <v>50008970</v>
          </cell>
          <cell r="G124" t="str">
            <v>SS400 10.0 X 120 X 1219 (KB)</v>
          </cell>
          <cell r="H124">
            <v>50</v>
          </cell>
        </row>
        <row r="125">
          <cell r="F125">
            <v>50008974</v>
          </cell>
          <cell r="G125" t="str">
            <v>SS400 6.00 X 75 X 635</v>
          </cell>
          <cell r="H125">
            <v>400</v>
          </cell>
        </row>
        <row r="126">
          <cell r="F126">
            <v>50009041</v>
          </cell>
          <cell r="G126" t="str">
            <v>SAPH440-DS 4.00 X 128 X 1219</v>
          </cell>
          <cell r="H126">
            <v>100</v>
          </cell>
        </row>
        <row r="127">
          <cell r="F127">
            <v>50009049</v>
          </cell>
          <cell r="G127" t="str">
            <v>SUS409L  1.2 X 380 X 312</v>
          </cell>
          <cell r="H127">
            <v>7962</v>
          </cell>
        </row>
        <row r="128">
          <cell r="F128">
            <v>50009210</v>
          </cell>
          <cell r="G128" t="str">
            <v>SAPH440-DS 2.00 X 263 X 1219</v>
          </cell>
          <cell r="H128">
            <v>100</v>
          </cell>
        </row>
        <row r="129">
          <cell r="F129">
            <v>50009268</v>
          </cell>
          <cell r="G129" t="str">
            <v>SAPH440-DS 2.00 X 200 X 325</v>
          </cell>
          <cell r="H129">
            <v>600</v>
          </cell>
        </row>
        <row r="130">
          <cell r="F130">
            <v>50009277</v>
          </cell>
          <cell r="G130" t="str">
            <v>STKM11AGI OD 19.1 X 1.6 X 379</v>
          </cell>
          <cell r="H130">
            <v>1180</v>
          </cell>
        </row>
        <row r="131">
          <cell r="F131">
            <v>50009400</v>
          </cell>
          <cell r="G131" t="str">
            <v>SGCC-ZSBX-Z22  1.2 X 192 X 1219</v>
          </cell>
          <cell r="H131">
            <v>398</v>
          </cell>
        </row>
        <row r="132">
          <cell r="F132">
            <v>50009655</v>
          </cell>
          <cell r="G132" t="str">
            <v>STKM11A-GI OD 19.1 X 1.6T X 231</v>
          </cell>
          <cell r="H132">
            <v>1000</v>
          </cell>
        </row>
        <row r="133">
          <cell r="F133">
            <v>50009666</v>
          </cell>
          <cell r="G133" t="str">
            <v>SPCEN-SD 0.90 X 710 X 880</v>
          </cell>
          <cell r="H133">
            <v>400</v>
          </cell>
        </row>
        <row r="134">
          <cell r="F134">
            <v>50010007</v>
          </cell>
          <cell r="G134" t="str">
            <v>SUS436S  1.2 X 180 X 1190</v>
          </cell>
          <cell r="H134">
            <v>442</v>
          </cell>
        </row>
        <row r="135">
          <cell r="F135">
            <v>50010008</v>
          </cell>
          <cell r="G135" t="str">
            <v>SUS409L  1.2 X 323 X 1100</v>
          </cell>
          <cell r="H135">
            <v>153</v>
          </cell>
        </row>
        <row r="136">
          <cell r="F136">
            <v>50010263</v>
          </cell>
          <cell r="G136" t="str">
            <v>STKM11A  OD 19.1 X 2.0 X 46.4</v>
          </cell>
          <cell r="H136">
            <v>207</v>
          </cell>
        </row>
        <row r="137">
          <cell r="F137">
            <v>50010336</v>
          </cell>
          <cell r="G137" t="str">
            <v>STKM11A  OD 25.4 X 2.0 X 188.4</v>
          </cell>
          <cell r="H137">
            <v>130</v>
          </cell>
        </row>
        <row r="138">
          <cell r="F138">
            <v>50010741</v>
          </cell>
          <cell r="G138" t="str">
            <v>STKM13A CD  19.05 X 1.6 X 470</v>
          </cell>
          <cell r="H138">
            <v>380</v>
          </cell>
        </row>
        <row r="139">
          <cell r="F139">
            <v>50010757</v>
          </cell>
          <cell r="G139" t="str">
            <v>STAM390G  60 X 47.6 X 2.0 X 695</v>
          </cell>
          <cell r="H139">
            <v>3000</v>
          </cell>
        </row>
        <row r="140">
          <cell r="F140">
            <v>50011059</v>
          </cell>
          <cell r="G140" t="str">
            <v>A5052-H32  0.8 X 425 X 675</v>
          </cell>
          <cell r="H140">
            <v>1469</v>
          </cell>
        </row>
        <row r="141">
          <cell r="F141">
            <v>50011348</v>
          </cell>
          <cell r="G141" t="str">
            <v>STKM11A(IBC)  25.4 X 2.0 X 430</v>
          </cell>
          <cell r="H141">
            <v>500</v>
          </cell>
        </row>
        <row r="142">
          <cell r="F142">
            <v>50011611</v>
          </cell>
          <cell r="G142" t="str">
            <v>STKM11A-EG OD 19.1 X 1.2T X 300.8</v>
          </cell>
          <cell r="H142">
            <v>2000</v>
          </cell>
        </row>
        <row r="143">
          <cell r="F143">
            <v>50011765</v>
          </cell>
          <cell r="G143" t="str">
            <v>STKM11A OD 40 X 3.2T X 140(S)</v>
          </cell>
          <cell r="H143">
            <v>199</v>
          </cell>
        </row>
        <row r="144">
          <cell r="F144">
            <v>50011766</v>
          </cell>
          <cell r="G144" t="str">
            <v>STKM11A OD 34 X 2.6T X 255(S)</v>
          </cell>
          <cell r="H144">
            <v>60</v>
          </cell>
        </row>
        <row r="145">
          <cell r="F145">
            <v>50011834</v>
          </cell>
          <cell r="G145" t="str">
            <v>SPCEN-SD 0.90 X 500 X 670</v>
          </cell>
          <cell r="H145">
            <v>506</v>
          </cell>
        </row>
        <row r="146">
          <cell r="F146">
            <v>50011835</v>
          </cell>
          <cell r="G146" t="str">
            <v>SPCEN-SD 0.90 X 695 X 980</v>
          </cell>
          <cell r="H146">
            <v>400</v>
          </cell>
        </row>
        <row r="147">
          <cell r="F147">
            <v>50011837</v>
          </cell>
          <cell r="G147" t="str">
            <v>JSH270C-P 1.60 X 415 X 1219</v>
          </cell>
          <cell r="H147">
            <v>179</v>
          </cell>
        </row>
        <row r="148">
          <cell r="F148">
            <v>50011838</v>
          </cell>
          <cell r="G148" t="str">
            <v>SAPH440-P 2.00 X 420 X 1219</v>
          </cell>
          <cell r="H148">
            <v>190</v>
          </cell>
        </row>
        <row r="149">
          <cell r="F149">
            <v>50012101</v>
          </cell>
          <cell r="G149" t="str">
            <v>HST45H(IBC) 60 X 47.6 X 2.0T X 735</v>
          </cell>
          <cell r="H149">
            <v>160</v>
          </cell>
        </row>
        <row r="150">
          <cell r="F150">
            <v>50013187</v>
          </cell>
          <cell r="G150" t="str">
            <v>SPCEN-SD  1.0 X 630 X 850</v>
          </cell>
          <cell r="H150">
            <v>400</v>
          </cell>
        </row>
        <row r="151">
          <cell r="F151">
            <v>50013205</v>
          </cell>
          <cell r="G151" t="str">
            <v>YSH270C-P 2.60 X 330 X 1219</v>
          </cell>
          <cell r="H151">
            <v>500</v>
          </cell>
        </row>
        <row r="152">
          <cell r="F152">
            <v>50013273</v>
          </cell>
          <cell r="G152" t="str">
            <v>JSC270C 1.00 X 85 X 1219</v>
          </cell>
          <cell r="H152">
            <v>50</v>
          </cell>
        </row>
        <row r="153">
          <cell r="F153">
            <v>50013436</v>
          </cell>
          <cell r="G153" t="str">
            <v>STAM290GA  OD21.7 X ID16.8 X 87.8 (S)PV</v>
          </cell>
          <cell r="H153">
            <v>200</v>
          </cell>
        </row>
        <row r="154">
          <cell r="F154">
            <v>50013799</v>
          </cell>
          <cell r="G154" t="str">
            <v>SP231-440PQ 2.00X782X177.5 (BL/LH 76533)</v>
          </cell>
          <cell r="H154">
            <v>300</v>
          </cell>
        </row>
        <row r="155">
          <cell r="F155">
            <v>50013800</v>
          </cell>
          <cell r="G155" t="str">
            <v>SP231-440PQ 2.00X782X177.5 (BL/RH 76532)</v>
          </cell>
          <cell r="H155">
            <v>300</v>
          </cell>
        </row>
        <row r="156">
          <cell r="F156">
            <v>50013979</v>
          </cell>
          <cell r="G156" t="str">
            <v>SPHC  6.0 X 195 X 1219</v>
          </cell>
          <cell r="H156">
            <v>60</v>
          </cell>
        </row>
        <row r="157">
          <cell r="F157">
            <v>50013982</v>
          </cell>
          <cell r="G157" t="str">
            <v>SS400  9.0 X 200 X 207</v>
          </cell>
          <cell r="H157">
            <v>300</v>
          </cell>
        </row>
        <row r="158">
          <cell r="F158">
            <v>50014147</v>
          </cell>
          <cell r="G158" t="str">
            <v>STKM11A,EG,AZ150 OD 19.1 X 1.2T X 396</v>
          </cell>
          <cell r="H158">
            <v>2000</v>
          </cell>
        </row>
        <row r="159">
          <cell r="F159">
            <v>50014383</v>
          </cell>
          <cell r="G159" t="str">
            <v>JSH590R 4.00 X 129 X 1219</v>
          </cell>
          <cell r="H159">
            <v>24</v>
          </cell>
        </row>
        <row r="160">
          <cell r="F160">
            <v>50014384</v>
          </cell>
          <cell r="G160" t="str">
            <v>JSH590R 2.00 X 106 X 1219</v>
          </cell>
          <cell r="H160">
            <v>34</v>
          </cell>
        </row>
        <row r="161">
          <cell r="F161">
            <v>50014385</v>
          </cell>
          <cell r="G161" t="str">
            <v>JSH590R 2.60 X 107 X 1219</v>
          </cell>
          <cell r="H161">
            <v>160</v>
          </cell>
        </row>
        <row r="162">
          <cell r="F162">
            <v>50014524</v>
          </cell>
          <cell r="G162" t="str">
            <v>SPCC-SD  1.2 X 35 X 1219</v>
          </cell>
          <cell r="H162">
            <v>200</v>
          </cell>
        </row>
        <row r="163">
          <cell r="F163">
            <v>50014738</v>
          </cell>
          <cell r="G163" t="str">
            <v>SPHC-P/O  6.0 X 32 X 363 (S)</v>
          </cell>
          <cell r="H163">
            <v>797</v>
          </cell>
        </row>
        <row r="164">
          <cell r="F164">
            <v>50014739</v>
          </cell>
          <cell r="G164" t="str">
            <v>SPHC-P/O  6.0 X 32 X 357 (S)</v>
          </cell>
          <cell r="H164">
            <v>800</v>
          </cell>
        </row>
        <row r="165">
          <cell r="F165">
            <v>50015500</v>
          </cell>
          <cell r="G165" t="str">
            <v>STKM-HTB617 (IBC) OD 22.2 X 1.4T X 850</v>
          </cell>
          <cell r="H165">
            <v>512</v>
          </cell>
        </row>
        <row r="166">
          <cell r="F166">
            <v>50015501</v>
          </cell>
          <cell r="G166" t="str">
            <v>STKM-HTB617 (IBC) OD 22.2 X 1.4T X 767</v>
          </cell>
          <cell r="H166">
            <v>515</v>
          </cell>
        </row>
        <row r="167">
          <cell r="F167">
            <v>50015839</v>
          </cell>
          <cell r="G167" t="str">
            <v>SP253-590PQ  3.20 X 288 X COIL</v>
          </cell>
          <cell r="H167">
            <v>1805</v>
          </cell>
        </row>
        <row r="168">
          <cell r="F168">
            <v>50015893</v>
          </cell>
          <cell r="G168" t="str">
            <v>SAPH440-P/O  6.0 X 265 X 1219 (S)</v>
          </cell>
          <cell r="H168">
            <v>50</v>
          </cell>
        </row>
        <row r="169">
          <cell r="F169">
            <v>50016122</v>
          </cell>
          <cell r="G169" t="str">
            <v>SPHC-P/O  2.0 X 285 X 1219</v>
          </cell>
          <cell r="H169">
            <v>256</v>
          </cell>
        </row>
        <row r="170">
          <cell r="F170">
            <v>50016162</v>
          </cell>
          <cell r="G170" t="str">
            <v>SPHC-P/O  4.0 X 200 X 1219</v>
          </cell>
          <cell r="H170">
            <v>200</v>
          </cell>
        </row>
        <row r="171">
          <cell r="F171">
            <v>50016657</v>
          </cell>
          <cell r="G171" t="str">
            <v>STKM-HTB617(IBC)  OD25.4 X 1.6 X 6000</v>
          </cell>
          <cell r="H171">
            <v>30</v>
          </cell>
        </row>
        <row r="172">
          <cell r="F172">
            <v>50016659</v>
          </cell>
          <cell r="G172" t="str">
            <v>STKM-HTB617(IBC)  OD19.1 X 1.4 X 6000</v>
          </cell>
          <cell r="H172">
            <v>1</v>
          </cell>
        </row>
        <row r="173">
          <cell r="F173">
            <v>50020332</v>
          </cell>
          <cell r="G173" t="str">
            <v>YST290N(N-IBC) OD 25.4 X 1.6 X 425</v>
          </cell>
          <cell r="H173">
            <v>500</v>
          </cell>
        </row>
        <row r="174">
          <cell r="F174">
            <v>50020574</v>
          </cell>
          <cell r="G174" t="str">
            <v>SPCC  1.4 X 200 X 520</v>
          </cell>
          <cell r="H174">
            <v>800</v>
          </cell>
        </row>
        <row r="175">
          <cell r="F175">
            <v>50020647</v>
          </cell>
          <cell r="G175" t="str">
            <v>STKM11A OD12.7 X 1.6 X 411.4</v>
          </cell>
          <cell r="H175">
            <v>150</v>
          </cell>
        </row>
        <row r="176">
          <cell r="F176">
            <v>50020768</v>
          </cell>
          <cell r="G176" t="str">
            <v>SK5 2.00 X 303 X 914 (S)</v>
          </cell>
          <cell r="H176">
            <v>120</v>
          </cell>
        </row>
        <row r="177">
          <cell r="F177">
            <v>50020787</v>
          </cell>
          <cell r="G177" t="str">
            <v>JNC270F-17/S  0.8 X 350 X 390 (S)</v>
          </cell>
          <cell r="H177">
            <v>89</v>
          </cell>
        </row>
        <row r="178">
          <cell r="F178">
            <v>50020792</v>
          </cell>
          <cell r="G178" t="str">
            <v>YST490N(IBC) OD 45.0 X 2.3 X 1200</v>
          </cell>
          <cell r="H178">
            <v>600</v>
          </cell>
        </row>
        <row r="179">
          <cell r="F179">
            <v>50020834</v>
          </cell>
          <cell r="G179" t="str">
            <v>SPCC-SD 0.60 X 285 X 580</v>
          </cell>
          <cell r="H179">
            <v>23000</v>
          </cell>
        </row>
        <row r="180">
          <cell r="F180">
            <v>50021075</v>
          </cell>
          <cell r="G180" t="str">
            <v>STKM11A(IBC)  50x30 X 3.2 X 1630</v>
          </cell>
          <cell r="H180">
            <v>200</v>
          </cell>
        </row>
        <row r="181">
          <cell r="F181">
            <v>50021167</v>
          </cell>
          <cell r="G181" t="str">
            <v>SPCC  1.4 X 200 X 500</v>
          </cell>
          <cell r="H181">
            <v>400</v>
          </cell>
        </row>
        <row r="182">
          <cell r="F182">
            <v>50021197</v>
          </cell>
          <cell r="G182" t="str">
            <v>YST290N(N-IBC) OD28.6 X 1.6 X 540</v>
          </cell>
          <cell r="H182">
            <v>500</v>
          </cell>
        </row>
        <row r="183">
          <cell r="F183">
            <v>50021268</v>
          </cell>
          <cell r="G183" t="str">
            <v>YST490N(IBC) OD48.6 X 2.0 X 1360</v>
          </cell>
          <cell r="H183">
            <v>600</v>
          </cell>
        </row>
        <row r="184">
          <cell r="F184">
            <v>50021385</v>
          </cell>
          <cell r="G184" t="str">
            <v>SPCEN-SD 0.9 X 240 X 650 (S)</v>
          </cell>
          <cell r="H184">
            <v>600</v>
          </cell>
        </row>
        <row r="185">
          <cell r="F185">
            <v>50021431</v>
          </cell>
          <cell r="G185" t="str">
            <v>SP781BQ 1.00 X 230 X 1340</v>
          </cell>
          <cell r="H185">
            <v>4500</v>
          </cell>
        </row>
        <row r="186">
          <cell r="F186">
            <v>50021451</v>
          </cell>
          <cell r="G186" t="str">
            <v>STKM-HTB60(IBC) OD48.6 X 2.0T X 6000 (S)</v>
          </cell>
          <cell r="H186">
            <v>8</v>
          </cell>
        </row>
        <row r="187">
          <cell r="F187">
            <v>50021460</v>
          </cell>
          <cell r="G187" t="str">
            <v>STKM11A E-G,AZ150 OD19.1 X 1.2 X 235</v>
          </cell>
          <cell r="H187">
            <v>1000</v>
          </cell>
        </row>
        <row r="188">
          <cell r="F188">
            <v>50021479</v>
          </cell>
          <cell r="G188" t="str">
            <v>STKM-HTB60(IBC) OD31.8 X 2.3T X 6000 (S)</v>
          </cell>
          <cell r="H188">
            <v>16</v>
          </cell>
        </row>
        <row r="189">
          <cell r="F189">
            <v>50021499</v>
          </cell>
          <cell r="G189" t="str">
            <v>SGD-400D OD 19 X 725</v>
          </cell>
          <cell r="H189">
            <v>75</v>
          </cell>
        </row>
        <row r="190">
          <cell r="F190">
            <v>50021536</v>
          </cell>
          <cell r="G190" t="str">
            <v>SPHC-P 2.3 X 380 X 490</v>
          </cell>
          <cell r="H190">
            <v>600</v>
          </cell>
        </row>
        <row r="191">
          <cell r="F191">
            <v>50021630</v>
          </cell>
          <cell r="G191" t="str">
            <v>SPCEN-SD 1.0 X 350 X 1090 (S)</v>
          </cell>
          <cell r="H191">
            <v>600</v>
          </cell>
        </row>
        <row r="192">
          <cell r="F192">
            <v>50021633</v>
          </cell>
          <cell r="G192" t="str">
            <v>STKM11A-EG(PZ) OD 19.1 X 1.2T X 334</v>
          </cell>
          <cell r="H192">
            <v>2000</v>
          </cell>
        </row>
        <row r="193">
          <cell r="F193">
            <v>50021765</v>
          </cell>
          <cell r="G193" t="str">
            <v>YSC270C  0.5 X 340 X 620</v>
          </cell>
          <cell r="H193">
            <v>1200</v>
          </cell>
        </row>
        <row r="194">
          <cell r="F194">
            <v>50021768</v>
          </cell>
          <cell r="G194" t="str">
            <v>STAM290GA(IBC) 48.6 X 3.5 X 204 PP &amp;FDL</v>
          </cell>
          <cell r="H194">
            <v>2400</v>
          </cell>
        </row>
        <row r="195">
          <cell r="F195">
            <v>50021897</v>
          </cell>
          <cell r="G195" t="str">
            <v>SAPH440 2.0 X 145 X 1219 (S)</v>
          </cell>
          <cell r="H195">
            <v>7</v>
          </cell>
        </row>
        <row r="196">
          <cell r="F196">
            <v>50021898</v>
          </cell>
          <cell r="G196" t="str">
            <v>SAPH440 2.0 X 225 X 1219 (S)</v>
          </cell>
          <cell r="H196">
            <v>5</v>
          </cell>
        </row>
        <row r="197">
          <cell r="F197">
            <v>50021919</v>
          </cell>
          <cell r="G197" t="str">
            <v>SPHC P/O 2.3 X 495 X 1130</v>
          </cell>
          <cell r="H197">
            <v>200</v>
          </cell>
        </row>
        <row r="198">
          <cell r="F198">
            <v>50021920</v>
          </cell>
          <cell r="G198" t="str">
            <v>SS400 6.00 X 420 X 609.5</v>
          </cell>
          <cell r="H198">
            <v>200</v>
          </cell>
        </row>
        <row r="199">
          <cell r="F199">
            <v>50021935</v>
          </cell>
          <cell r="G199" t="str">
            <v>SAPH440 2.0 X 170 X 1219</v>
          </cell>
          <cell r="H199">
            <v>200</v>
          </cell>
        </row>
        <row r="200">
          <cell r="F200">
            <v>50021936</v>
          </cell>
          <cell r="G200" t="str">
            <v>SPCC 1.4 X 476 X 290 (S)</v>
          </cell>
          <cell r="H200">
            <v>800</v>
          </cell>
        </row>
        <row r="201">
          <cell r="F201">
            <v>50021937</v>
          </cell>
          <cell r="G201" t="str">
            <v>SPCEN-SD 1.6 X 258 X 1110 (S)</v>
          </cell>
          <cell r="H201">
            <v>300</v>
          </cell>
        </row>
        <row r="202">
          <cell r="F202">
            <v>50022035</v>
          </cell>
          <cell r="G202" t="str">
            <v>STKM-HTB60(IBC) OD19.1 X 1.4T X 5800</v>
          </cell>
          <cell r="H202">
            <v>1</v>
          </cell>
        </row>
        <row r="203">
          <cell r="F203">
            <v>50022036</v>
          </cell>
          <cell r="G203" t="str">
            <v>JNC270F-17/S 0.80 X 390 X 275</v>
          </cell>
          <cell r="H203">
            <v>1200</v>
          </cell>
        </row>
        <row r="204">
          <cell r="F204">
            <v>50022037</v>
          </cell>
          <cell r="G204" t="str">
            <v>JNC270F-17/S 0.80 X 420 X 340</v>
          </cell>
          <cell r="H204">
            <v>1200</v>
          </cell>
        </row>
        <row r="205">
          <cell r="F205">
            <v>50022110</v>
          </cell>
          <cell r="G205" t="str">
            <v>SPCC 1.60 X 500 X 800 (S)</v>
          </cell>
          <cell r="H205">
            <v>66</v>
          </cell>
        </row>
        <row r="206">
          <cell r="F206">
            <v>50022125</v>
          </cell>
          <cell r="G206" t="str">
            <v>STAM290GA(IBC) OD 22.2 X 3.2T X 161</v>
          </cell>
          <cell r="H206">
            <v>1000</v>
          </cell>
        </row>
        <row r="207">
          <cell r="F207">
            <v>50022126</v>
          </cell>
          <cell r="G207" t="str">
            <v>STAM290GA(IBC)  48.6 X 3.5 X 204</v>
          </cell>
          <cell r="H207">
            <v>1600</v>
          </cell>
        </row>
        <row r="208">
          <cell r="F208">
            <v>50022276</v>
          </cell>
          <cell r="G208" t="str">
            <v>JNC270F-17/S  0.8 X 360 x 335 (S)</v>
          </cell>
          <cell r="H208">
            <v>1500</v>
          </cell>
        </row>
        <row r="209">
          <cell r="F209">
            <v>50022277</v>
          </cell>
          <cell r="G209" t="str">
            <v>JNC270F-17/S  0.8 X 375 x 350 (S)</v>
          </cell>
          <cell r="H209">
            <v>900</v>
          </cell>
        </row>
        <row r="210">
          <cell r="F210">
            <v>50022286</v>
          </cell>
          <cell r="G210" t="str">
            <v>JNC270F-17/S  0.8 X 375 X 440</v>
          </cell>
          <cell r="H210">
            <v>600</v>
          </cell>
        </row>
        <row r="211">
          <cell r="F211">
            <v>50022287</v>
          </cell>
          <cell r="G211" t="str">
            <v>JNC270F-17/S  0.8 X 470 X 280</v>
          </cell>
          <cell r="H211">
            <v>1200</v>
          </cell>
        </row>
        <row r="212">
          <cell r="F212">
            <v>50022288</v>
          </cell>
          <cell r="G212" t="str">
            <v>JNC270F-17/S  0.8 X 460 X 280</v>
          </cell>
          <cell r="H212">
            <v>1200</v>
          </cell>
        </row>
        <row r="213">
          <cell r="F213">
            <v>50022289</v>
          </cell>
          <cell r="G213" t="str">
            <v>JNC270F-17/S  0.8 X 330 X 350</v>
          </cell>
          <cell r="H213">
            <v>600</v>
          </cell>
        </row>
        <row r="214">
          <cell r="F214">
            <v>50022290</v>
          </cell>
          <cell r="G214" t="str">
            <v>JNC270F-17/S  0.8 X 365 X 370</v>
          </cell>
          <cell r="H214">
            <v>600</v>
          </cell>
        </row>
        <row r="215">
          <cell r="F215">
            <v>50022291</v>
          </cell>
          <cell r="G215" t="str">
            <v>JNC270F-17/S 0.80 x 440 x 460</v>
          </cell>
          <cell r="H215">
            <v>1200</v>
          </cell>
        </row>
        <row r="216">
          <cell r="F216">
            <v>50022292</v>
          </cell>
          <cell r="G216" t="str">
            <v>JNC270F-17/S 0.80 x 440 x 470</v>
          </cell>
          <cell r="H216">
            <v>1200</v>
          </cell>
        </row>
        <row r="217">
          <cell r="F217">
            <v>50022293</v>
          </cell>
          <cell r="G217" t="str">
            <v>JNC270F-17/S 0.8 X 380 X 470 (S)</v>
          </cell>
          <cell r="H217">
            <v>545</v>
          </cell>
        </row>
        <row r="218">
          <cell r="F218">
            <v>50022297</v>
          </cell>
          <cell r="G218" t="str">
            <v>SS400 6.0 X 173 X 440</v>
          </cell>
          <cell r="H218">
            <v>200</v>
          </cell>
        </row>
        <row r="219">
          <cell r="F219">
            <v>50022298</v>
          </cell>
          <cell r="G219" t="str">
            <v>SS400 6.0 X 173 X 529</v>
          </cell>
          <cell r="H219">
            <v>100</v>
          </cell>
        </row>
        <row r="220">
          <cell r="F220">
            <v>50022299</v>
          </cell>
          <cell r="G220" t="str">
            <v>SPHC 4.5 X 560 X 608 (S)</v>
          </cell>
          <cell r="H220">
            <v>200</v>
          </cell>
        </row>
        <row r="221">
          <cell r="F221">
            <v>50022423</v>
          </cell>
          <cell r="G221" t="str">
            <v>STKM11A (N-IBC)OD 15.9 X 1.6T X 310_BORE</v>
          </cell>
          <cell r="H221">
            <v>400</v>
          </cell>
        </row>
        <row r="222">
          <cell r="F222">
            <v>50022468</v>
          </cell>
          <cell r="G222" t="str">
            <v>NSSC436S 1.00 X 320 X 1000</v>
          </cell>
          <cell r="H222">
            <v>35</v>
          </cell>
        </row>
        <row r="223">
          <cell r="F223">
            <v>50022670</v>
          </cell>
          <cell r="G223" t="str">
            <v>STK400 OD 22.0 X 2.5T X 455 (S)</v>
          </cell>
          <cell r="H223">
            <v>100</v>
          </cell>
        </row>
        <row r="224">
          <cell r="F224">
            <v>50022671</v>
          </cell>
          <cell r="G224" t="str">
            <v>STKR400 38.0 X 38.0 X 1.2T X 545.5 (S)</v>
          </cell>
          <cell r="H224">
            <v>10</v>
          </cell>
        </row>
        <row r="225">
          <cell r="F225">
            <v>50022672</v>
          </cell>
          <cell r="G225" t="str">
            <v>STKR400 50.0 X 50.0 X 2.3T X 900 (S)</v>
          </cell>
          <cell r="H225">
            <v>50</v>
          </cell>
        </row>
        <row r="226">
          <cell r="F226">
            <v>50022700</v>
          </cell>
          <cell r="G226" t="str">
            <v>STK400  OD42.7 X 2.3 X 384.6 (S)</v>
          </cell>
          <cell r="H226">
            <v>50</v>
          </cell>
        </row>
        <row r="227">
          <cell r="F227">
            <v>50022746</v>
          </cell>
          <cell r="G227" t="str">
            <v>SPCEN 1.20 X 600 X 950 (S)</v>
          </cell>
          <cell r="H227">
            <v>800</v>
          </cell>
        </row>
        <row r="228">
          <cell r="F228">
            <v>50022909</v>
          </cell>
          <cell r="G228" t="str">
            <v>SPCC 1.0 X 167 X 670</v>
          </cell>
          <cell r="H228">
            <v>20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OCK  19.09.2017"/>
    </sheetNames>
    <sheetDataSet>
      <sheetData sheetId="0">
        <row r="6">
          <cell r="F6">
            <v>30002796</v>
          </cell>
          <cell r="G6" t="str">
            <v>CROSS TUBE 2 (5YP-F1197-00)</v>
          </cell>
          <cell r="H6" t="str">
            <v>PC</v>
          </cell>
          <cell r="I6">
            <v>100</v>
          </cell>
        </row>
        <row r="7">
          <cell r="F7">
            <v>30002797</v>
          </cell>
          <cell r="G7" t="str">
            <v>PIPE 4 (5YP-F116Y-00)</v>
          </cell>
          <cell r="H7" t="str">
            <v>PC</v>
          </cell>
          <cell r="I7">
            <v>50</v>
          </cell>
        </row>
        <row r="8">
          <cell r="F8">
            <v>30002798</v>
          </cell>
          <cell r="G8" t="str">
            <v>PIPE 3 (5YP-F116X-00)</v>
          </cell>
          <cell r="H8" t="str">
            <v>PC</v>
          </cell>
          <cell r="I8">
            <v>50</v>
          </cell>
        </row>
        <row r="9">
          <cell r="F9">
            <v>30002878</v>
          </cell>
          <cell r="G9" t="str">
            <v>PIPE MAIN (5YP-F1115-00)</v>
          </cell>
          <cell r="H9" t="str">
            <v>PC</v>
          </cell>
          <cell r="I9">
            <v>33</v>
          </cell>
        </row>
        <row r="10">
          <cell r="F10">
            <v>30003332</v>
          </cell>
          <cell r="G10" t="str">
            <v>BACK STAY RH (5VV-F1124-00)</v>
          </cell>
          <cell r="H10" t="str">
            <v>PC</v>
          </cell>
          <cell r="I10">
            <v>246</v>
          </cell>
        </row>
        <row r="11">
          <cell r="F11">
            <v>30003334</v>
          </cell>
          <cell r="G11" t="str">
            <v>PIPE HANDLE (53100-KTL-8500-01)</v>
          </cell>
          <cell r="H11" t="str">
            <v>PC</v>
          </cell>
          <cell r="I11">
            <v>80</v>
          </cell>
        </row>
        <row r="12">
          <cell r="F12">
            <v>30003558</v>
          </cell>
          <cell r="G12" t="str">
            <v>PIPE 2 (5MY-E4872-11-01)</v>
          </cell>
          <cell r="H12" t="str">
            <v>PC</v>
          </cell>
          <cell r="I12">
            <v>20</v>
          </cell>
        </row>
        <row r="13">
          <cell r="F13">
            <v>30007742</v>
          </cell>
          <cell r="G13" t="str">
            <v>PIPE MIDDLE CROSS(32154-0684)</v>
          </cell>
          <cell r="H13" t="str">
            <v>PC</v>
          </cell>
          <cell r="I13">
            <v>200</v>
          </cell>
        </row>
        <row r="14">
          <cell r="F14">
            <v>30013017</v>
          </cell>
          <cell r="G14" t="str">
            <v>PIPECOMP,L SEAT RAIL (50114-KPP-T002-H1)</v>
          </cell>
          <cell r="H14" t="str">
            <v>PC</v>
          </cell>
          <cell r="I14">
            <v>50</v>
          </cell>
        </row>
        <row r="15">
          <cell r="F15">
            <v>30013036</v>
          </cell>
          <cell r="G15" t="str">
            <v>PIPE,R LOWER (50115-KPP-T000-20)</v>
          </cell>
          <cell r="H15" t="str">
            <v>PC</v>
          </cell>
          <cell r="I15">
            <v>50</v>
          </cell>
        </row>
        <row r="16">
          <cell r="F16">
            <v>30013037</v>
          </cell>
          <cell r="G16" t="str">
            <v>PIPE COMP,R SEAT RAIL(50113-KPP-T002-H1)</v>
          </cell>
          <cell r="H16" t="str">
            <v>PC</v>
          </cell>
          <cell r="I16">
            <v>0</v>
          </cell>
        </row>
        <row r="17">
          <cell r="F17">
            <v>30013442</v>
          </cell>
          <cell r="G17" t="str">
            <v>PIPE COMP,L LOWER (50116-KPP-T000-H1)</v>
          </cell>
          <cell r="H17" t="str">
            <v>PC</v>
          </cell>
          <cell r="I17">
            <v>0</v>
          </cell>
        </row>
        <row r="18">
          <cell r="F18">
            <v>30015322</v>
          </cell>
          <cell r="G18" t="str">
            <v>PIPE (50107-KZL-9300-21)</v>
          </cell>
          <cell r="H18" t="str">
            <v>PC</v>
          </cell>
          <cell r="I18">
            <v>312</v>
          </cell>
        </row>
        <row r="19">
          <cell r="F19">
            <v>30015375</v>
          </cell>
          <cell r="G19" t="str">
            <v>PIPE HANDLE (53100-KZV-T000-20)</v>
          </cell>
          <cell r="H19" t="str">
            <v>PC</v>
          </cell>
          <cell r="I19">
            <v>600</v>
          </cell>
        </row>
        <row r="20">
          <cell r="F20">
            <v>30020399</v>
          </cell>
          <cell r="G20" t="str">
            <v>BL-BRKT SIDE STEP R/L (96176JR000-07BE)</v>
          </cell>
          <cell r="H20" t="str">
            <v>PC</v>
          </cell>
          <cell r="I20">
            <v>3348</v>
          </cell>
        </row>
        <row r="21">
          <cell r="F21">
            <v>30021205</v>
          </cell>
          <cell r="G21" t="str">
            <v>PIPE MAIN(54S-F1115-00)</v>
          </cell>
          <cell r="H21" t="str">
            <v>PC</v>
          </cell>
          <cell r="I21">
            <v>40</v>
          </cell>
        </row>
        <row r="22">
          <cell r="F22">
            <v>30021399</v>
          </cell>
          <cell r="G22" t="str">
            <v>PIPE FRAME MAIN (50126-KYZ-9000-H1)</v>
          </cell>
          <cell r="H22" t="str">
            <v>PC</v>
          </cell>
          <cell r="I22">
            <v>1000</v>
          </cell>
        </row>
        <row r="23">
          <cell r="F23">
            <v>30021459</v>
          </cell>
          <cell r="G23" t="str">
            <v>PIPE BRAKE (46500-GN5-9000)(GN5)</v>
          </cell>
          <cell r="H23" t="str">
            <v>PC</v>
          </cell>
          <cell r="I23">
            <v>10</v>
          </cell>
        </row>
        <row r="24">
          <cell r="F24">
            <v>30021460</v>
          </cell>
          <cell r="G24" t="str">
            <v>PIPE BRAKE (46500-GN5-9000)GN5W</v>
          </cell>
          <cell r="H24" t="str">
            <v>PC</v>
          </cell>
          <cell r="I24">
            <v>59</v>
          </cell>
        </row>
        <row r="25">
          <cell r="F25">
            <v>30021462</v>
          </cell>
          <cell r="G25" t="str">
            <v>PIPE BRAKE (46500-KEV-9000-01)</v>
          </cell>
          <cell r="H25" t="str">
            <v>PC</v>
          </cell>
          <cell r="I25">
            <v>50</v>
          </cell>
        </row>
        <row r="26">
          <cell r="F26">
            <v>30021464</v>
          </cell>
          <cell r="G26" t="str">
            <v>PIPE BRAKE (46500-KPH-9000)</v>
          </cell>
          <cell r="H26" t="str">
            <v>PC</v>
          </cell>
          <cell r="I26">
            <v>500</v>
          </cell>
        </row>
        <row r="27">
          <cell r="F27">
            <v>30021465</v>
          </cell>
          <cell r="G27" t="str">
            <v>PIPE BRAKE (46500-KPW-9000)</v>
          </cell>
          <cell r="H27" t="str">
            <v>PC</v>
          </cell>
          <cell r="I27">
            <v>0</v>
          </cell>
        </row>
        <row r="28">
          <cell r="F28">
            <v>30021466</v>
          </cell>
          <cell r="G28" t="str">
            <v>PIPE HANDLE (53100-KWW-6400-20)</v>
          </cell>
          <cell r="H28" t="str">
            <v>PC</v>
          </cell>
          <cell r="I28">
            <v>2400</v>
          </cell>
        </row>
        <row r="29">
          <cell r="F29">
            <v>30021483</v>
          </cell>
          <cell r="G29" t="str">
            <v>TUBE SWINGING ARM RH (2059576)</v>
          </cell>
          <cell r="H29" t="str">
            <v>PC</v>
          </cell>
          <cell r="I29">
            <v>298</v>
          </cell>
        </row>
        <row r="30">
          <cell r="F30">
            <v>30021485</v>
          </cell>
          <cell r="G30" t="str">
            <v>TUBE SWINGING ARM LH (2059575)</v>
          </cell>
          <cell r="H30" t="str">
            <v>PC</v>
          </cell>
          <cell r="I30">
            <v>227</v>
          </cell>
        </row>
        <row r="31">
          <cell r="F31">
            <v>30022360</v>
          </cell>
          <cell r="G31" t="str">
            <v>DOWN TUBE 1 (2CM-F1191-00)</v>
          </cell>
          <cell r="H31" t="str">
            <v>PC</v>
          </cell>
          <cell r="I31">
            <v>125</v>
          </cell>
        </row>
        <row r="32">
          <cell r="F32">
            <v>30022368</v>
          </cell>
          <cell r="G32" t="str">
            <v>DOWN TUBE 2 (2CM-F1192-00)</v>
          </cell>
          <cell r="H32" t="str">
            <v>PC</v>
          </cell>
          <cell r="I32">
            <v>94</v>
          </cell>
        </row>
        <row r="33">
          <cell r="F33">
            <v>30022380</v>
          </cell>
          <cell r="G33" t="str">
            <v>DOWN TUBE 3 (2CM-F119K-00)</v>
          </cell>
          <cell r="H33" t="str">
            <v>PC</v>
          </cell>
          <cell r="I33">
            <v>1</v>
          </cell>
        </row>
        <row r="34">
          <cell r="F34">
            <v>30022917</v>
          </cell>
          <cell r="G34" t="str">
            <v>PIPE L MAIN (50103-KZZ-9001-H1)</v>
          </cell>
          <cell r="H34" t="str">
            <v>PC</v>
          </cell>
          <cell r="I34">
            <v>294</v>
          </cell>
        </row>
        <row r="35">
          <cell r="F35">
            <v>30023099</v>
          </cell>
          <cell r="G35" t="str">
            <v>PIPE BREAK (46500-KYZ-9003-20)</v>
          </cell>
          <cell r="H35" t="str">
            <v>PC</v>
          </cell>
          <cell r="I35">
            <v>1800</v>
          </cell>
        </row>
        <row r="36">
          <cell r="F36">
            <v>30023365</v>
          </cell>
          <cell r="G36" t="str">
            <v>PIPE (32154-1297)</v>
          </cell>
          <cell r="H36" t="str">
            <v>PC</v>
          </cell>
          <cell r="I36">
            <v>147</v>
          </cell>
        </row>
        <row r="37">
          <cell r="F37">
            <v>30024218</v>
          </cell>
          <cell r="G37" t="str">
            <v>CROSS TUBE 1 (2BL-F1196-00)</v>
          </cell>
          <cell r="H37" t="str">
            <v>PC</v>
          </cell>
          <cell r="I37">
            <v>0</v>
          </cell>
        </row>
        <row r="38">
          <cell r="F38">
            <v>30032464</v>
          </cell>
          <cell r="G38" t="str">
            <v>ARM SUB COMP.,1(ASSY)(1FP-F2130-00)_1FPG</v>
          </cell>
          <cell r="H38" t="str">
            <v>PC</v>
          </cell>
          <cell r="I38">
            <v>0</v>
          </cell>
        </row>
        <row r="39">
          <cell r="F39">
            <v>30032465</v>
          </cell>
          <cell r="G39" t="str">
            <v>ARM SUB COMP.,2(ASSY)(1FP-F2140-00)_1FPG</v>
          </cell>
          <cell r="H39" t="str">
            <v>PC</v>
          </cell>
          <cell r="I39">
            <v>0</v>
          </cell>
        </row>
        <row r="40">
          <cell r="F40">
            <v>30032987</v>
          </cell>
          <cell r="G40" t="str">
            <v>PIPE L SWINGARM COMP (52126-KPW-9001-01)</v>
          </cell>
          <cell r="H40" t="str">
            <v>PC</v>
          </cell>
          <cell r="I40">
            <v>100</v>
          </cell>
        </row>
        <row r="41">
          <cell r="F41">
            <v>40000359</v>
          </cell>
          <cell r="G41" t="str">
            <v>SPCC 0.80 X 935 X 412.8 (DAIKIN AIR)</v>
          </cell>
          <cell r="H41" t="str">
            <v>SHE</v>
          </cell>
          <cell r="I41">
            <v>135</v>
          </cell>
        </row>
        <row r="42">
          <cell r="F42">
            <v>50000329</v>
          </cell>
          <cell r="G42" t="str">
            <v>STKM11A OD12.7 X 1.6T X 526</v>
          </cell>
          <cell r="H42" t="str">
            <v>PC</v>
          </cell>
          <cell r="I42">
            <v>22</v>
          </cell>
        </row>
        <row r="43">
          <cell r="F43">
            <v>50000419</v>
          </cell>
          <cell r="G43" t="str">
            <v>STKM11A(IBC) OD34.0 X 2.0T X 220</v>
          </cell>
          <cell r="H43" t="str">
            <v>PC</v>
          </cell>
          <cell r="I43">
            <v>54</v>
          </cell>
        </row>
        <row r="44">
          <cell r="F44">
            <v>50000427</v>
          </cell>
          <cell r="G44" t="str">
            <v>STKM11A(IBC) OD38.1 X 2.3T X 264</v>
          </cell>
          <cell r="H44" t="str">
            <v>PC</v>
          </cell>
          <cell r="I44">
            <v>42</v>
          </cell>
        </row>
        <row r="45">
          <cell r="F45">
            <v>50000444</v>
          </cell>
          <cell r="G45" t="str">
            <v>STKM11A OD47.6 X 3.5T X 700</v>
          </cell>
          <cell r="H45" t="str">
            <v>PC</v>
          </cell>
          <cell r="I45">
            <v>50</v>
          </cell>
        </row>
        <row r="46">
          <cell r="F46">
            <v>50000473</v>
          </cell>
          <cell r="G46" t="str">
            <v>STKM11A(IBC) 40 X 20 X 1.6T X 410</v>
          </cell>
          <cell r="H46" t="str">
            <v>PC</v>
          </cell>
          <cell r="I46">
            <v>608</v>
          </cell>
        </row>
        <row r="47">
          <cell r="F47">
            <v>50000498</v>
          </cell>
          <cell r="G47" t="str">
            <v>STKM11A(IBC) 40 X 25 X 2.0T X 479</v>
          </cell>
          <cell r="H47" t="str">
            <v>PC</v>
          </cell>
          <cell r="I47">
            <v>330</v>
          </cell>
        </row>
        <row r="48">
          <cell r="F48">
            <v>50000517</v>
          </cell>
          <cell r="G48" t="str">
            <v>SPFH 590 P/O 1.60 X 250 X 510</v>
          </cell>
          <cell r="H48" t="str">
            <v>SHE</v>
          </cell>
          <cell r="I48">
            <v>800</v>
          </cell>
        </row>
        <row r="49">
          <cell r="F49">
            <v>50000637</v>
          </cell>
          <cell r="G49" t="str">
            <v>JSC270C 0.60 X 1110 X 155</v>
          </cell>
          <cell r="H49" t="str">
            <v>SHE</v>
          </cell>
          <cell r="I49">
            <v>150</v>
          </cell>
        </row>
        <row r="50">
          <cell r="F50">
            <v>50000638</v>
          </cell>
          <cell r="G50" t="str">
            <v>JSC270C 0.60 X 1130 X 205</v>
          </cell>
          <cell r="H50" t="str">
            <v>SHE</v>
          </cell>
          <cell r="I50">
            <v>690</v>
          </cell>
        </row>
        <row r="51">
          <cell r="F51">
            <v>50000639</v>
          </cell>
          <cell r="G51" t="str">
            <v>JSC270C 0.70 X 260 X 1030</v>
          </cell>
          <cell r="H51" t="str">
            <v>SHE</v>
          </cell>
          <cell r="I51">
            <v>400</v>
          </cell>
        </row>
        <row r="52">
          <cell r="F52">
            <v>50001241</v>
          </cell>
          <cell r="G52" t="str">
            <v>SPC1 1.00 X 190 X 1165</v>
          </cell>
          <cell r="H52" t="str">
            <v>SHE</v>
          </cell>
          <cell r="I52">
            <v>39</v>
          </cell>
        </row>
        <row r="53">
          <cell r="F53">
            <v>50001245</v>
          </cell>
          <cell r="G53" t="str">
            <v>SPC1M-45/45 1.20 X 169 X 1219</v>
          </cell>
          <cell r="H53" t="str">
            <v>SHE</v>
          </cell>
          <cell r="I53">
            <v>45</v>
          </cell>
        </row>
        <row r="54">
          <cell r="F54">
            <v>50001246</v>
          </cell>
          <cell r="G54" t="str">
            <v>SPC1M-45/45 1.20 X 240 X 1219</v>
          </cell>
          <cell r="H54" t="str">
            <v>SHE</v>
          </cell>
          <cell r="I54">
            <v>25</v>
          </cell>
        </row>
        <row r="55">
          <cell r="F55">
            <v>50001285</v>
          </cell>
          <cell r="G55" t="str">
            <v>SPCC 0.60 X 300 X 565</v>
          </cell>
          <cell r="H55" t="str">
            <v>SHE</v>
          </cell>
          <cell r="I55">
            <v>3000</v>
          </cell>
        </row>
        <row r="56">
          <cell r="F56">
            <v>50001290</v>
          </cell>
          <cell r="G56" t="str">
            <v>SPCC 0.60 X 300 X 580</v>
          </cell>
          <cell r="H56" t="str">
            <v>SHE</v>
          </cell>
          <cell r="I56">
            <v>5000</v>
          </cell>
        </row>
        <row r="57">
          <cell r="F57">
            <v>50001295</v>
          </cell>
          <cell r="G57" t="str">
            <v>SPCC 0.60 X 305 X 605</v>
          </cell>
          <cell r="H57" t="str">
            <v>SHE</v>
          </cell>
          <cell r="I57">
            <v>5000</v>
          </cell>
        </row>
        <row r="58">
          <cell r="F58">
            <v>50001512</v>
          </cell>
          <cell r="G58" t="str">
            <v>SPCC 1.20 X 384 X 345</v>
          </cell>
          <cell r="H58" t="str">
            <v>SHE</v>
          </cell>
          <cell r="I58">
            <v>1000</v>
          </cell>
        </row>
        <row r="59">
          <cell r="F59">
            <v>50001513</v>
          </cell>
          <cell r="G59" t="str">
            <v>SPCC 1.20 X 310 X 385</v>
          </cell>
          <cell r="H59" t="str">
            <v>SHE</v>
          </cell>
          <cell r="I59">
            <v>1000</v>
          </cell>
        </row>
        <row r="60">
          <cell r="F60">
            <v>50001526</v>
          </cell>
          <cell r="G60" t="str">
            <v>SPCC 1.20 X 355 X 562</v>
          </cell>
          <cell r="H60" t="str">
            <v>SHE</v>
          </cell>
          <cell r="I60">
            <v>26</v>
          </cell>
        </row>
        <row r="61">
          <cell r="F61">
            <v>50001607</v>
          </cell>
          <cell r="G61" t="str">
            <v>SPCC 1.60 X 900 X 1050</v>
          </cell>
          <cell r="H61" t="str">
            <v>SHE</v>
          </cell>
          <cell r="I61">
            <v>300</v>
          </cell>
        </row>
        <row r="62">
          <cell r="F62">
            <v>50001626</v>
          </cell>
          <cell r="G62" t="str">
            <v>SPCC 2.00 X 470 X 1060</v>
          </cell>
          <cell r="H62" t="str">
            <v>SHE</v>
          </cell>
          <cell r="I62">
            <v>100</v>
          </cell>
        </row>
        <row r="63">
          <cell r="F63">
            <v>50001647</v>
          </cell>
          <cell r="G63" t="str">
            <v>SPCC 2.00 X 309 X 1219</v>
          </cell>
          <cell r="H63" t="str">
            <v>SHE</v>
          </cell>
          <cell r="I63">
            <v>32</v>
          </cell>
        </row>
        <row r="64">
          <cell r="F64">
            <v>50001660</v>
          </cell>
          <cell r="G64" t="str">
            <v>SPCC 2.00 X 365 X 1080</v>
          </cell>
          <cell r="H64" t="str">
            <v>SHE</v>
          </cell>
          <cell r="I64">
            <v>40</v>
          </cell>
        </row>
        <row r="65">
          <cell r="F65">
            <v>50001667</v>
          </cell>
          <cell r="G65" t="str">
            <v>PCC 2.30 X 65 X 1219 (KB)</v>
          </cell>
          <cell r="H65" t="str">
            <v>SHE</v>
          </cell>
          <cell r="I65">
            <v>19</v>
          </cell>
        </row>
        <row r="66">
          <cell r="F66">
            <v>50001713</v>
          </cell>
          <cell r="G66" t="str">
            <v>SPCC 2.60 X 255 X 400</v>
          </cell>
          <cell r="H66" t="str">
            <v>SHE</v>
          </cell>
          <cell r="I66">
            <v>400</v>
          </cell>
        </row>
        <row r="67">
          <cell r="F67">
            <v>50001714</v>
          </cell>
          <cell r="G67" t="str">
            <v>SPCC 2.60 X 330 X 1219</v>
          </cell>
          <cell r="H67" t="str">
            <v>SHE</v>
          </cell>
          <cell r="I67">
            <v>33</v>
          </cell>
        </row>
        <row r="68">
          <cell r="F68">
            <v>50001756</v>
          </cell>
          <cell r="G68" t="str">
            <v>SPCD 1.00 X 521 X 533</v>
          </cell>
          <cell r="H68" t="str">
            <v>SHE</v>
          </cell>
          <cell r="I68">
            <v>100</v>
          </cell>
        </row>
        <row r="69">
          <cell r="F69">
            <v>50001758</v>
          </cell>
          <cell r="G69" t="str">
            <v>SPCD 1.00 X 390 X 420</v>
          </cell>
          <cell r="H69" t="str">
            <v>SHE</v>
          </cell>
          <cell r="I69">
            <v>500</v>
          </cell>
        </row>
        <row r="70">
          <cell r="F70">
            <v>50001817</v>
          </cell>
          <cell r="G70" t="str">
            <v>SPCEN-SD 0.90 X 530 X 900</v>
          </cell>
          <cell r="H70" t="str">
            <v>SHE</v>
          </cell>
          <cell r="I70">
            <v>0</v>
          </cell>
        </row>
        <row r="71">
          <cell r="F71">
            <v>50001825</v>
          </cell>
          <cell r="G71" t="str">
            <v>SPCEN-SD 0.90 X 750 X 1150</v>
          </cell>
          <cell r="H71" t="str">
            <v>SHE</v>
          </cell>
          <cell r="I71">
            <v>100</v>
          </cell>
        </row>
        <row r="72">
          <cell r="F72">
            <v>50001826</v>
          </cell>
          <cell r="G72" t="str">
            <v>SPCEN-SD 0.90 X 530 X 700</v>
          </cell>
          <cell r="H72" t="str">
            <v>SHE</v>
          </cell>
          <cell r="I72">
            <v>14</v>
          </cell>
        </row>
        <row r="73">
          <cell r="F73">
            <v>50001827</v>
          </cell>
          <cell r="G73" t="str">
            <v>SPCEN-SD 0.90 X 150 X 1219</v>
          </cell>
          <cell r="H73" t="str">
            <v>SHE</v>
          </cell>
          <cell r="I73">
            <v>50</v>
          </cell>
        </row>
        <row r="74">
          <cell r="F74">
            <v>50001835</v>
          </cell>
          <cell r="G74" t="str">
            <v>SPCEN 1.00 X 420 X 420</v>
          </cell>
          <cell r="H74" t="str">
            <v>SHE</v>
          </cell>
          <cell r="I74">
            <v>600</v>
          </cell>
        </row>
        <row r="75">
          <cell r="F75">
            <v>50001841</v>
          </cell>
          <cell r="G75" t="str">
            <v>SPCEN 1.00 X 550 X 560</v>
          </cell>
          <cell r="H75" t="str">
            <v>SHE</v>
          </cell>
          <cell r="I75">
            <v>300</v>
          </cell>
        </row>
        <row r="76">
          <cell r="F76">
            <v>50001858</v>
          </cell>
          <cell r="G76" t="str">
            <v>SPCEN 1.00 X 520 X 530</v>
          </cell>
          <cell r="H76" t="str">
            <v>SHE</v>
          </cell>
          <cell r="I76">
            <v>600</v>
          </cell>
        </row>
        <row r="77">
          <cell r="F77">
            <v>50001860</v>
          </cell>
          <cell r="G77" t="str">
            <v>SPCEN 1.00 X 510 X 525</v>
          </cell>
          <cell r="H77" t="str">
            <v>SHE</v>
          </cell>
          <cell r="I77">
            <v>400</v>
          </cell>
        </row>
        <row r="78">
          <cell r="F78">
            <v>50001865</v>
          </cell>
          <cell r="G78" t="str">
            <v>SPCEN 1.00 X 630 X 925</v>
          </cell>
          <cell r="H78" t="str">
            <v>SHE</v>
          </cell>
          <cell r="I78">
            <v>50</v>
          </cell>
        </row>
        <row r="79">
          <cell r="F79">
            <v>50001871</v>
          </cell>
          <cell r="G79" t="str">
            <v>SPCEN 1.00 X 380 X 420</v>
          </cell>
          <cell r="H79" t="str">
            <v>SHE</v>
          </cell>
          <cell r="I79">
            <v>600</v>
          </cell>
        </row>
        <row r="80">
          <cell r="F80">
            <v>50001897</v>
          </cell>
          <cell r="G80" t="str">
            <v>SPCEN 1.60 X 215 X 555</v>
          </cell>
          <cell r="H80" t="str">
            <v>SHE</v>
          </cell>
          <cell r="I80">
            <v>760</v>
          </cell>
        </row>
        <row r="81">
          <cell r="F81">
            <v>50001903</v>
          </cell>
          <cell r="G81" t="str">
            <v>SPCEN 1.60 X 440 X 440</v>
          </cell>
          <cell r="H81" t="str">
            <v>SHE</v>
          </cell>
          <cell r="I81">
            <v>191</v>
          </cell>
        </row>
        <row r="82">
          <cell r="F82">
            <v>50001920</v>
          </cell>
          <cell r="G82" t="str">
            <v>SPFH 590 P/O(RHA590 P/O) 1.60X315X635</v>
          </cell>
          <cell r="H82" t="str">
            <v>SHE</v>
          </cell>
          <cell r="I82">
            <v>400</v>
          </cell>
        </row>
        <row r="83">
          <cell r="F83">
            <v>50001921</v>
          </cell>
          <cell r="G83" t="str">
            <v>SPFH 590 P/O(RHA590 P/O) 1.60X275X450</v>
          </cell>
          <cell r="H83" t="str">
            <v>SHE</v>
          </cell>
          <cell r="I83">
            <v>800</v>
          </cell>
        </row>
        <row r="84">
          <cell r="F84">
            <v>50001964</v>
          </cell>
          <cell r="G84" t="str">
            <v>SPHC P/O 1.20 X 60 X 1219</v>
          </cell>
          <cell r="H84" t="str">
            <v>SHE</v>
          </cell>
          <cell r="I84">
            <v>141</v>
          </cell>
        </row>
        <row r="85">
          <cell r="F85">
            <v>50002067</v>
          </cell>
          <cell r="G85" t="str">
            <v>SPHC-DS 2.00 X 67 X 1219</v>
          </cell>
          <cell r="H85" t="str">
            <v>SHE</v>
          </cell>
          <cell r="I85">
            <v>12</v>
          </cell>
        </row>
        <row r="86">
          <cell r="F86">
            <v>50002068</v>
          </cell>
          <cell r="G86" t="str">
            <v>SPHC-DS 2.00 X 275 X 1219</v>
          </cell>
          <cell r="H86" t="str">
            <v>SHE</v>
          </cell>
          <cell r="I86">
            <v>100</v>
          </cell>
        </row>
        <row r="87">
          <cell r="F87">
            <v>50002213</v>
          </cell>
          <cell r="G87" t="str">
            <v>SPHC P/O 2.30 X 222 X 1219</v>
          </cell>
          <cell r="H87" t="str">
            <v>SHE</v>
          </cell>
          <cell r="I87">
            <v>36</v>
          </cell>
        </row>
        <row r="88">
          <cell r="F88">
            <v>50002233</v>
          </cell>
          <cell r="G88" t="str">
            <v>SPHC-DS 2.60 X 95 X 1219</v>
          </cell>
          <cell r="H88" t="str">
            <v>SHE</v>
          </cell>
          <cell r="I88">
            <v>180</v>
          </cell>
        </row>
        <row r="89">
          <cell r="F89">
            <v>50002242</v>
          </cell>
          <cell r="G89" t="str">
            <v>SPHC P/O 2.60 X 282 X 1219</v>
          </cell>
          <cell r="H89" t="str">
            <v>SHE</v>
          </cell>
          <cell r="I89">
            <v>21</v>
          </cell>
        </row>
        <row r="90">
          <cell r="F90">
            <v>50002259</v>
          </cell>
          <cell r="G90" t="str">
            <v>SPHC-DS 3.20 X 174 X 1110</v>
          </cell>
          <cell r="H90" t="str">
            <v>SHE</v>
          </cell>
          <cell r="I90">
            <v>100</v>
          </cell>
        </row>
        <row r="91">
          <cell r="F91">
            <v>50002263</v>
          </cell>
          <cell r="G91" t="str">
            <v>SPHC-DS 3.20 X 230 X 1219</v>
          </cell>
          <cell r="H91" t="str">
            <v>SHE</v>
          </cell>
          <cell r="I91">
            <v>100</v>
          </cell>
        </row>
        <row r="92">
          <cell r="F92">
            <v>50002318</v>
          </cell>
          <cell r="G92" t="str">
            <v>SPHC-DS 3.20 X 169 X 1219</v>
          </cell>
          <cell r="H92" t="str">
            <v>SHE</v>
          </cell>
          <cell r="I92">
            <v>50</v>
          </cell>
        </row>
        <row r="93">
          <cell r="F93">
            <v>50002338</v>
          </cell>
          <cell r="G93" t="str">
            <v>SPHC P/O 4.00 X 470 X 1219</v>
          </cell>
          <cell r="H93" t="str">
            <v>SHE</v>
          </cell>
          <cell r="I93">
            <v>98.888000000000005</v>
          </cell>
        </row>
        <row r="94">
          <cell r="F94">
            <v>50002427</v>
          </cell>
          <cell r="G94" t="str">
            <v>SPHC 7.00 X 160 X 609</v>
          </cell>
          <cell r="H94" t="str">
            <v>SHE</v>
          </cell>
          <cell r="I94">
            <v>50</v>
          </cell>
        </row>
        <row r="95">
          <cell r="F95">
            <v>50002428</v>
          </cell>
          <cell r="G95" t="str">
            <v>SPHC 7.00 X 170 X 609</v>
          </cell>
          <cell r="H95" t="str">
            <v>SHE</v>
          </cell>
          <cell r="I95">
            <v>50</v>
          </cell>
        </row>
        <row r="96">
          <cell r="F96">
            <v>50002433</v>
          </cell>
          <cell r="G96" t="str">
            <v>SPHC P/O 8.00 X 150 X 1219</v>
          </cell>
          <cell r="H96" t="str">
            <v>SHE</v>
          </cell>
          <cell r="I96">
            <v>4</v>
          </cell>
        </row>
        <row r="97">
          <cell r="F97">
            <v>50002924</v>
          </cell>
          <cell r="G97" t="str">
            <v>JAC270F 35/35 1.60 X 290 X 730</v>
          </cell>
          <cell r="H97" t="str">
            <v>SHE</v>
          </cell>
          <cell r="I97">
            <v>150</v>
          </cell>
        </row>
        <row r="98">
          <cell r="F98">
            <v>50003241</v>
          </cell>
          <cell r="G98" t="str">
            <v>SPCP1 3P/3P 1.20 X 265 X 1162</v>
          </cell>
          <cell r="H98" t="str">
            <v>SHE</v>
          </cell>
          <cell r="I98">
            <v>12</v>
          </cell>
        </row>
        <row r="99">
          <cell r="F99">
            <v>50003250</v>
          </cell>
          <cell r="G99" t="str">
            <v>SPHC-DS 2.00 X 185 X 1219</v>
          </cell>
          <cell r="H99" t="str">
            <v>SHE</v>
          </cell>
          <cell r="I99">
            <v>72</v>
          </cell>
        </row>
        <row r="100">
          <cell r="F100">
            <v>50003302</v>
          </cell>
          <cell r="G100" t="str">
            <v>SUS436L 1.50 X 130 X 245</v>
          </cell>
          <cell r="H100" t="str">
            <v>SHE</v>
          </cell>
          <cell r="I100">
            <v>600</v>
          </cell>
        </row>
        <row r="101">
          <cell r="F101">
            <v>50003355</v>
          </cell>
          <cell r="G101" t="str">
            <v>STAM290GA(N-1BC)22.2 x 3.2t x 154.5</v>
          </cell>
          <cell r="H101" t="str">
            <v>PC</v>
          </cell>
          <cell r="I101">
            <v>1000</v>
          </cell>
        </row>
        <row r="102">
          <cell r="F102">
            <v>50003546</v>
          </cell>
          <cell r="G102" t="str">
            <v>SPHC-DS 2.9 X 180 X 1219</v>
          </cell>
          <cell r="H102" t="str">
            <v>SHE</v>
          </cell>
          <cell r="I102">
            <v>14</v>
          </cell>
        </row>
        <row r="103">
          <cell r="F103">
            <v>50003608</v>
          </cell>
          <cell r="G103" t="str">
            <v>SPHC-DS 2.0 X 86 X 1219</v>
          </cell>
          <cell r="H103" t="str">
            <v>SHE</v>
          </cell>
          <cell r="I103">
            <v>50</v>
          </cell>
        </row>
        <row r="104">
          <cell r="F104">
            <v>50003609</v>
          </cell>
          <cell r="G104" t="str">
            <v>SPHC-DS 1.6 X 210 X 258</v>
          </cell>
          <cell r="H104" t="str">
            <v>SHE</v>
          </cell>
          <cell r="I104">
            <v>31</v>
          </cell>
        </row>
        <row r="105">
          <cell r="F105">
            <v>50003644</v>
          </cell>
          <cell r="G105" t="str">
            <v>SUS304-2B OD 22.2 X 1.2T X 135</v>
          </cell>
          <cell r="H105" t="str">
            <v>PC</v>
          </cell>
          <cell r="I105">
            <v>2000</v>
          </cell>
        </row>
        <row r="106">
          <cell r="F106">
            <v>50003673</v>
          </cell>
          <cell r="G106" t="str">
            <v>SPCC 0.8 X 105 X 390</v>
          </cell>
          <cell r="H106" t="str">
            <v>SHE</v>
          </cell>
          <cell r="I106">
            <v>500</v>
          </cell>
        </row>
        <row r="107">
          <cell r="F107">
            <v>50003689</v>
          </cell>
          <cell r="G107" t="str">
            <v>SPCEN-SD 0.9 X 600 X 980</v>
          </cell>
          <cell r="H107" t="str">
            <v>SHE</v>
          </cell>
          <cell r="I107">
            <v>16</v>
          </cell>
        </row>
        <row r="108">
          <cell r="F108">
            <v>50003985</v>
          </cell>
          <cell r="G108" t="str">
            <v>STKM11A (IBC) OD 48.6 X 3.5 X 196</v>
          </cell>
          <cell r="H108" t="str">
            <v>PC</v>
          </cell>
          <cell r="I108">
            <v>1600</v>
          </cell>
        </row>
        <row r="109">
          <cell r="F109">
            <v>50004087</v>
          </cell>
          <cell r="G109" t="str">
            <v>SP222PQ 3.20 X 308 X COIL</v>
          </cell>
          <cell r="H109" t="str">
            <v>KG</v>
          </cell>
          <cell r="I109">
            <v>1834</v>
          </cell>
        </row>
        <row r="110">
          <cell r="F110">
            <v>50004206</v>
          </cell>
          <cell r="G110" t="str">
            <v>SUS304-2B 1.00 X 250 X 360</v>
          </cell>
          <cell r="H110" t="str">
            <v>SHE</v>
          </cell>
          <cell r="I110">
            <v>250</v>
          </cell>
        </row>
        <row r="111">
          <cell r="F111">
            <v>50004223</v>
          </cell>
          <cell r="G111" t="str">
            <v>SUS304-2B OD 31.8 X 1.5T X 580</v>
          </cell>
          <cell r="H111" t="str">
            <v>PC</v>
          </cell>
          <cell r="I111">
            <v>822</v>
          </cell>
        </row>
        <row r="112">
          <cell r="F112">
            <v>50004234</v>
          </cell>
          <cell r="G112" t="str">
            <v>SPCC 0.80 X 320 X 530</v>
          </cell>
          <cell r="H112" t="str">
            <v>SHE</v>
          </cell>
          <cell r="I112">
            <v>300</v>
          </cell>
        </row>
        <row r="113">
          <cell r="F113">
            <v>50004415</v>
          </cell>
          <cell r="G113" t="str">
            <v>SPCEN 0.80 X 400 X 420</v>
          </cell>
          <cell r="H113" t="str">
            <v>SHE</v>
          </cell>
          <cell r="I113">
            <v>745</v>
          </cell>
        </row>
        <row r="114">
          <cell r="F114">
            <v>50004450</v>
          </cell>
          <cell r="G114" t="str">
            <v>HST60H(IBC) OD 22.2 X 2T X 782</v>
          </cell>
          <cell r="H114" t="str">
            <v>PC</v>
          </cell>
          <cell r="I114">
            <v>400</v>
          </cell>
        </row>
        <row r="115">
          <cell r="F115">
            <v>50004654</v>
          </cell>
          <cell r="G115" t="str">
            <v>SPCC 1.00 X 150 X 520</v>
          </cell>
          <cell r="H115" t="str">
            <v>SHE</v>
          </cell>
          <cell r="I115">
            <v>50</v>
          </cell>
        </row>
        <row r="116">
          <cell r="F116">
            <v>50004923</v>
          </cell>
          <cell r="G116" t="str">
            <v>HTB617 (IBC) OD 28.6 X 1.4T X 404 (KB)</v>
          </cell>
          <cell r="H116" t="str">
            <v>PC</v>
          </cell>
          <cell r="I116">
            <v>488</v>
          </cell>
        </row>
        <row r="117">
          <cell r="F117">
            <v>50004926</v>
          </cell>
          <cell r="G117" t="str">
            <v>HTB617(IBC) OD28.6 X 1.4 T X 497 (KB)</v>
          </cell>
          <cell r="H117" t="str">
            <v>PC</v>
          </cell>
          <cell r="I117">
            <v>400</v>
          </cell>
        </row>
        <row r="118">
          <cell r="F118">
            <v>50005223</v>
          </cell>
          <cell r="G118" t="str">
            <v>SPCEN-SD 1.2x560x1170(KB)</v>
          </cell>
          <cell r="H118" t="str">
            <v>SHE</v>
          </cell>
          <cell r="I118">
            <v>280</v>
          </cell>
        </row>
        <row r="119">
          <cell r="F119">
            <v>50006674</v>
          </cell>
          <cell r="G119" t="str">
            <v>STKM11A(IBC) OD 25.4 X 1.2T X 325</v>
          </cell>
          <cell r="H119" t="str">
            <v>PC</v>
          </cell>
          <cell r="I119">
            <v>400</v>
          </cell>
        </row>
        <row r="120">
          <cell r="F120">
            <v>50006675</v>
          </cell>
          <cell r="G120" t="str">
            <v>STKM11A(IBC) OD 25.4 X 1.2T X 350</v>
          </cell>
          <cell r="H120" t="str">
            <v>PC</v>
          </cell>
          <cell r="I120">
            <v>0</v>
          </cell>
        </row>
        <row r="121">
          <cell r="F121">
            <v>50008038</v>
          </cell>
          <cell r="G121" t="str">
            <v>SPCC 0.80 X 100 x 315</v>
          </cell>
          <cell r="H121" t="str">
            <v>SHE</v>
          </cell>
          <cell r="I121">
            <v>1500</v>
          </cell>
        </row>
        <row r="122">
          <cell r="F122">
            <v>50008140</v>
          </cell>
          <cell r="G122" t="str">
            <v>SPHC-DS 2.60 X 153 X 1219</v>
          </cell>
          <cell r="H122" t="str">
            <v>SHE</v>
          </cell>
          <cell r="I122">
            <v>100</v>
          </cell>
        </row>
        <row r="123">
          <cell r="F123">
            <v>50008142</v>
          </cell>
          <cell r="G123" t="str">
            <v>SPHC-DS 2.60 X 107 X 1219</v>
          </cell>
          <cell r="H123" t="str">
            <v>SHE</v>
          </cell>
          <cell r="I123">
            <v>15</v>
          </cell>
        </row>
        <row r="124">
          <cell r="F124">
            <v>50008230</v>
          </cell>
          <cell r="G124" t="str">
            <v>SPCEN-SD 0.80 X 200 X 500</v>
          </cell>
          <cell r="H124" t="str">
            <v>SHE</v>
          </cell>
          <cell r="I124">
            <v>220</v>
          </cell>
        </row>
        <row r="125">
          <cell r="F125">
            <v>50008265</v>
          </cell>
          <cell r="G125" t="str">
            <v>SPHC P/O 6.00 X 32 X 364</v>
          </cell>
          <cell r="H125" t="str">
            <v>SHE</v>
          </cell>
          <cell r="I125">
            <v>200</v>
          </cell>
        </row>
        <row r="126">
          <cell r="F126">
            <v>50008268</v>
          </cell>
          <cell r="G126" t="str">
            <v>SS400 6.00 X 100 X 420</v>
          </cell>
          <cell r="H126" t="str">
            <v>SHE</v>
          </cell>
          <cell r="I126">
            <v>0</v>
          </cell>
        </row>
        <row r="127">
          <cell r="F127">
            <v>50008273</v>
          </cell>
          <cell r="G127" t="str">
            <v>SPHC P/O 4.50 X 62 X 1300</v>
          </cell>
          <cell r="H127" t="str">
            <v>SHE</v>
          </cell>
          <cell r="I127">
            <v>400</v>
          </cell>
        </row>
        <row r="128">
          <cell r="F128">
            <v>50008296</v>
          </cell>
          <cell r="G128" t="str">
            <v>SPHC-DS 2.60 X 415 X 1219</v>
          </cell>
          <cell r="H128" t="str">
            <v>SHE</v>
          </cell>
          <cell r="I128">
            <v>200</v>
          </cell>
        </row>
        <row r="129">
          <cell r="F129">
            <v>50008437</v>
          </cell>
          <cell r="G129" t="str">
            <v>SUS304-2B OD 35 X 1.5T X 71</v>
          </cell>
          <cell r="H129" t="str">
            <v>PC</v>
          </cell>
          <cell r="I129">
            <v>450</v>
          </cell>
        </row>
        <row r="130">
          <cell r="F130">
            <v>50008462</v>
          </cell>
          <cell r="G130" t="str">
            <v>STKM11A-EG(PZ) OD 19.1 X 1.2T X 334.3</v>
          </cell>
          <cell r="H130" t="str">
            <v>PC</v>
          </cell>
          <cell r="I130">
            <v>0</v>
          </cell>
        </row>
        <row r="131">
          <cell r="F131">
            <v>50008557</v>
          </cell>
          <cell r="G131" t="str">
            <v>STKM11A OD 31.8 X 1.2T X 43.50</v>
          </cell>
          <cell r="H131" t="str">
            <v>PC</v>
          </cell>
          <cell r="I131">
            <v>9534</v>
          </cell>
        </row>
        <row r="132">
          <cell r="F132">
            <v>50008906</v>
          </cell>
          <cell r="G132" t="str">
            <v>JFE-CG-EZN-0/20 1.00 X 390 X 470</v>
          </cell>
          <cell r="H132" t="str">
            <v>SHE</v>
          </cell>
          <cell r="I132">
            <v>500</v>
          </cell>
        </row>
        <row r="133">
          <cell r="F133">
            <v>50008970</v>
          </cell>
          <cell r="G133" t="str">
            <v>SS400 10.0 X 120 X 1219 (KB)</v>
          </cell>
          <cell r="H133" t="str">
            <v>SHE</v>
          </cell>
          <cell r="I133">
            <v>50</v>
          </cell>
        </row>
        <row r="134">
          <cell r="F134">
            <v>50008974</v>
          </cell>
          <cell r="G134" t="str">
            <v>SS400 6.00 X 75 X 635</v>
          </cell>
          <cell r="H134" t="str">
            <v>SHE</v>
          </cell>
          <cell r="I134">
            <v>1000</v>
          </cell>
        </row>
        <row r="135">
          <cell r="F135">
            <v>50009041</v>
          </cell>
          <cell r="G135" t="str">
            <v>SAPH440-DS 4.00 X 128 X 1219</v>
          </cell>
          <cell r="H135" t="str">
            <v>SHE</v>
          </cell>
          <cell r="I135">
            <v>100</v>
          </cell>
        </row>
        <row r="136">
          <cell r="F136">
            <v>50009049</v>
          </cell>
          <cell r="G136" t="str">
            <v>SUS409L  1.2 X 380 X 312</v>
          </cell>
          <cell r="H136" t="str">
            <v>SHE</v>
          </cell>
          <cell r="I136">
            <v>7965</v>
          </cell>
        </row>
        <row r="137">
          <cell r="F137">
            <v>50009210</v>
          </cell>
          <cell r="G137" t="str">
            <v>SAPH440-DS 2.00 X 263 X 1219</v>
          </cell>
          <cell r="H137" t="str">
            <v>SHE</v>
          </cell>
          <cell r="I137">
            <v>50</v>
          </cell>
        </row>
        <row r="138">
          <cell r="F138">
            <v>50009268</v>
          </cell>
          <cell r="G138" t="str">
            <v>SAPH440-DS 2.00 X 200 X 325</v>
          </cell>
          <cell r="H138" t="str">
            <v>SHE</v>
          </cell>
          <cell r="I138">
            <v>600</v>
          </cell>
        </row>
        <row r="139">
          <cell r="F139">
            <v>50009277</v>
          </cell>
          <cell r="G139" t="str">
            <v>STKM11AGI OD 19.1 X 1.6 X 379</v>
          </cell>
          <cell r="H139" t="str">
            <v>PC</v>
          </cell>
          <cell r="I139">
            <v>1180</v>
          </cell>
        </row>
        <row r="140">
          <cell r="F140">
            <v>50009400</v>
          </cell>
          <cell r="G140" t="str">
            <v>SGCC-ZSBX-Z22  1.2 X 192 X 1219</v>
          </cell>
          <cell r="H140" t="str">
            <v>SHE</v>
          </cell>
          <cell r="I140">
            <v>398</v>
          </cell>
        </row>
        <row r="141">
          <cell r="F141">
            <v>50009655</v>
          </cell>
          <cell r="G141" t="str">
            <v>STKM11A-GI OD 19.1 X 1.6T X 231</v>
          </cell>
          <cell r="H141" t="str">
            <v>PC</v>
          </cell>
          <cell r="I141">
            <v>1000</v>
          </cell>
        </row>
        <row r="142">
          <cell r="F142">
            <v>50009665</v>
          </cell>
          <cell r="G142" t="str">
            <v>SPCEN-SD 0.90 X 605 X 920</v>
          </cell>
          <cell r="H142" t="str">
            <v>SHE</v>
          </cell>
          <cell r="I142">
            <v>1362</v>
          </cell>
        </row>
        <row r="143">
          <cell r="F143">
            <v>50009666</v>
          </cell>
          <cell r="G143" t="str">
            <v>SPCEN-SD 0.90 X 710 X 880</v>
          </cell>
          <cell r="H143" t="str">
            <v>SHE</v>
          </cell>
          <cell r="I143">
            <v>356</v>
          </cell>
        </row>
        <row r="144">
          <cell r="F144">
            <v>50009667</v>
          </cell>
          <cell r="G144" t="str">
            <v>SPCC 1.20 X 250 X 360</v>
          </cell>
          <cell r="H144" t="str">
            <v>SHE</v>
          </cell>
          <cell r="I144">
            <v>300</v>
          </cell>
        </row>
        <row r="145">
          <cell r="F145">
            <v>50010007</v>
          </cell>
          <cell r="G145" t="str">
            <v>SUS436S  1.2 X 180 X 1190</v>
          </cell>
          <cell r="H145" t="str">
            <v>SHE</v>
          </cell>
          <cell r="I145">
            <v>442</v>
          </cell>
        </row>
        <row r="146">
          <cell r="F146">
            <v>50010008</v>
          </cell>
          <cell r="G146" t="str">
            <v>SUS409L  1.2 X 323 X 1100</v>
          </cell>
          <cell r="H146" t="str">
            <v>SHE</v>
          </cell>
          <cell r="I146">
            <v>153</v>
          </cell>
        </row>
        <row r="147">
          <cell r="F147">
            <v>50010263</v>
          </cell>
          <cell r="G147" t="str">
            <v>STKM11A  OD 19.1 X 2.0 X 46.4</v>
          </cell>
          <cell r="H147" t="str">
            <v>PC</v>
          </cell>
          <cell r="I147">
            <v>207</v>
          </cell>
        </row>
        <row r="148">
          <cell r="F148">
            <v>50010336</v>
          </cell>
          <cell r="G148" t="str">
            <v>STKM11A  OD 25.4 X 2.0 X 188.4</v>
          </cell>
          <cell r="H148" t="str">
            <v>PC</v>
          </cell>
          <cell r="I148">
            <v>130</v>
          </cell>
        </row>
        <row r="149">
          <cell r="F149">
            <v>50010741</v>
          </cell>
          <cell r="G149" t="str">
            <v>STKM13A CD  19.05 X 1.6 X 470</v>
          </cell>
          <cell r="H149" t="str">
            <v>PC</v>
          </cell>
          <cell r="I149">
            <v>380</v>
          </cell>
        </row>
        <row r="150">
          <cell r="F150">
            <v>50010757</v>
          </cell>
          <cell r="G150" t="str">
            <v>STAM390G  60 X 47.6 X 2.0 X 695</v>
          </cell>
          <cell r="H150" t="str">
            <v>PC</v>
          </cell>
          <cell r="I150">
            <v>4400</v>
          </cell>
        </row>
        <row r="151">
          <cell r="F151">
            <v>50010760</v>
          </cell>
          <cell r="G151" t="str">
            <v>STAM290GA(IBC)  48.6 X 3.5 X 204</v>
          </cell>
          <cell r="H151" t="str">
            <v>PC</v>
          </cell>
          <cell r="I151">
            <v>1600</v>
          </cell>
        </row>
        <row r="152">
          <cell r="F152">
            <v>50010979</v>
          </cell>
          <cell r="G152" t="str">
            <v>NSSC FHZ 2.0 X 235 X 1219</v>
          </cell>
          <cell r="H152" t="str">
            <v>SHE</v>
          </cell>
          <cell r="I152">
            <v>400</v>
          </cell>
        </row>
        <row r="153">
          <cell r="F153">
            <v>50011059</v>
          </cell>
          <cell r="G153" t="str">
            <v>A5052-H32  0.8 X 425 X 675</v>
          </cell>
          <cell r="H153" t="str">
            <v>SHE</v>
          </cell>
          <cell r="I153">
            <v>1469</v>
          </cell>
        </row>
        <row r="154">
          <cell r="F154">
            <v>50011348</v>
          </cell>
          <cell r="G154" t="str">
            <v>STKM11A(IBC)  25.4 X 2.0 X 430</v>
          </cell>
          <cell r="H154" t="str">
            <v>PC</v>
          </cell>
          <cell r="I154">
            <v>500</v>
          </cell>
        </row>
        <row r="155">
          <cell r="F155">
            <v>50011765</v>
          </cell>
          <cell r="G155" t="str">
            <v>STKM11A OD 40 X 3.2T X 140(S)</v>
          </cell>
          <cell r="H155" t="str">
            <v>PC</v>
          </cell>
          <cell r="I155">
            <v>199</v>
          </cell>
        </row>
        <row r="156">
          <cell r="F156">
            <v>50011766</v>
          </cell>
          <cell r="G156" t="str">
            <v>STKM11A OD 34 X 2.6T X 255(S)</v>
          </cell>
          <cell r="H156" t="str">
            <v>PC</v>
          </cell>
          <cell r="I156">
            <v>60</v>
          </cell>
        </row>
        <row r="157">
          <cell r="F157">
            <v>50011803</v>
          </cell>
          <cell r="G157" t="str">
            <v>SUS409L 1.00 X 312 X 750</v>
          </cell>
          <cell r="H157" t="str">
            <v>SHE</v>
          </cell>
          <cell r="I157">
            <v>54</v>
          </cell>
        </row>
        <row r="158">
          <cell r="F158">
            <v>50011834</v>
          </cell>
          <cell r="G158" t="str">
            <v>SPCEN-SD 0.90 X 500 X 670</v>
          </cell>
          <cell r="H158" t="str">
            <v>SHE</v>
          </cell>
          <cell r="I158">
            <v>690</v>
          </cell>
        </row>
        <row r="159">
          <cell r="F159">
            <v>50011835</v>
          </cell>
          <cell r="G159" t="str">
            <v>SPCEN-SD 0.90 X 695 X 980</v>
          </cell>
          <cell r="H159" t="str">
            <v>SHE</v>
          </cell>
          <cell r="I159">
            <v>14</v>
          </cell>
        </row>
        <row r="160">
          <cell r="F160">
            <v>50011836</v>
          </cell>
          <cell r="G160" t="str">
            <v>SPCEN-SD 0.90 X 830 X 995</v>
          </cell>
          <cell r="H160" t="str">
            <v>SHE</v>
          </cell>
          <cell r="I160">
            <v>1000</v>
          </cell>
        </row>
        <row r="161">
          <cell r="F161">
            <v>50011837</v>
          </cell>
          <cell r="G161" t="str">
            <v>JSH270C-P 1.60 X 415 X 1219</v>
          </cell>
          <cell r="H161" t="str">
            <v>SHE</v>
          </cell>
          <cell r="I161">
            <v>179</v>
          </cell>
        </row>
        <row r="162">
          <cell r="F162">
            <v>50011838</v>
          </cell>
          <cell r="G162" t="str">
            <v>SAPH440-P 2.00 X 420 X 1219</v>
          </cell>
          <cell r="H162" t="str">
            <v>SHE</v>
          </cell>
          <cell r="I162">
            <v>190</v>
          </cell>
        </row>
        <row r="163">
          <cell r="F163">
            <v>50013187</v>
          </cell>
          <cell r="G163" t="str">
            <v>SPCEN-SD  1.0 X 630 X 850</v>
          </cell>
          <cell r="H163" t="str">
            <v>SHE</v>
          </cell>
          <cell r="I163">
            <v>830</v>
          </cell>
        </row>
        <row r="164">
          <cell r="F164">
            <v>50013205</v>
          </cell>
          <cell r="G164" t="str">
            <v>YSH270C-P 2.60 X 330 X 1219</v>
          </cell>
          <cell r="H164" t="str">
            <v>SHE</v>
          </cell>
          <cell r="I164">
            <v>500</v>
          </cell>
        </row>
        <row r="165">
          <cell r="F165">
            <v>50013256</v>
          </cell>
          <cell r="G165" t="str">
            <v>NSSC409L BT-P 1.00 X 345 X 460</v>
          </cell>
          <cell r="H165" t="str">
            <v>SHE</v>
          </cell>
          <cell r="I165">
            <v>1500</v>
          </cell>
        </row>
        <row r="166">
          <cell r="F166">
            <v>50013273</v>
          </cell>
          <cell r="G166" t="str">
            <v>JSC270C 1.00 X 85 X 1219</v>
          </cell>
          <cell r="H166" t="str">
            <v>SHE</v>
          </cell>
          <cell r="I166">
            <v>50</v>
          </cell>
        </row>
        <row r="167">
          <cell r="F167">
            <v>50013799</v>
          </cell>
          <cell r="G167" t="str">
            <v>SP231-440PQ 2.00X782X177.5 (BL/LH 76533)</v>
          </cell>
          <cell r="H167" t="str">
            <v>SHE</v>
          </cell>
          <cell r="I167">
            <v>300</v>
          </cell>
        </row>
        <row r="168">
          <cell r="F168">
            <v>50013979</v>
          </cell>
          <cell r="G168" t="str">
            <v>SPHC  6.0 X 195 X 1219</v>
          </cell>
          <cell r="H168" t="str">
            <v>SHE</v>
          </cell>
          <cell r="I168">
            <v>40</v>
          </cell>
        </row>
        <row r="169">
          <cell r="F169">
            <v>50013982</v>
          </cell>
          <cell r="G169" t="str">
            <v>SS400  9.0 X 200 X 207</v>
          </cell>
          <cell r="H169" t="str">
            <v>SHE</v>
          </cell>
          <cell r="I169">
            <v>600</v>
          </cell>
        </row>
        <row r="170">
          <cell r="F170">
            <v>50014147</v>
          </cell>
          <cell r="G170" t="str">
            <v>STKM11A,EG,AZ150 OD 19.1 X 1.2T X 396</v>
          </cell>
          <cell r="H170" t="str">
            <v>PC</v>
          </cell>
          <cell r="I170">
            <v>2000</v>
          </cell>
        </row>
        <row r="171">
          <cell r="F171">
            <v>50014383</v>
          </cell>
          <cell r="G171" t="str">
            <v>JSH590R 4.00 X 129 X 1219</v>
          </cell>
          <cell r="H171" t="str">
            <v>SHE</v>
          </cell>
          <cell r="I171">
            <v>24</v>
          </cell>
        </row>
        <row r="172">
          <cell r="F172">
            <v>50014384</v>
          </cell>
          <cell r="G172" t="str">
            <v>JSH590R 2.00 X 106 X 1219</v>
          </cell>
          <cell r="H172" t="str">
            <v>SHE</v>
          </cell>
          <cell r="I172">
            <v>34</v>
          </cell>
        </row>
        <row r="173">
          <cell r="F173">
            <v>50014385</v>
          </cell>
          <cell r="G173" t="str">
            <v>JSH590R 2.60 X 107 X 1219</v>
          </cell>
          <cell r="H173" t="str">
            <v>SHE</v>
          </cell>
          <cell r="I173">
            <v>160</v>
          </cell>
        </row>
        <row r="174">
          <cell r="F174">
            <v>50014524</v>
          </cell>
          <cell r="G174" t="str">
            <v>SPCC-SD  1.2 X 35 X 1219</v>
          </cell>
          <cell r="H174" t="str">
            <v>SHE</v>
          </cell>
          <cell r="I174">
            <v>200</v>
          </cell>
        </row>
        <row r="175">
          <cell r="F175">
            <v>50014668</v>
          </cell>
          <cell r="G175" t="str">
            <v>JSH270C-P  4.5 X 308 X 1219</v>
          </cell>
          <cell r="H175" t="str">
            <v>SHE</v>
          </cell>
          <cell r="I175">
            <v>600</v>
          </cell>
        </row>
        <row r="176">
          <cell r="F176">
            <v>50014738</v>
          </cell>
          <cell r="G176" t="str">
            <v>SPHC-P/O  6.0 X 32 X 363 (S)</v>
          </cell>
          <cell r="H176" t="str">
            <v>SHE</v>
          </cell>
          <cell r="I176">
            <v>797</v>
          </cell>
        </row>
        <row r="177">
          <cell r="F177">
            <v>50014739</v>
          </cell>
          <cell r="G177" t="str">
            <v>SPHC-P/O  6.0 X 32 X 357 (S)</v>
          </cell>
          <cell r="H177" t="str">
            <v>SHE</v>
          </cell>
          <cell r="I177">
            <v>800</v>
          </cell>
        </row>
        <row r="178">
          <cell r="F178">
            <v>50015893</v>
          </cell>
          <cell r="G178" t="str">
            <v>SAPH440-P/O  6.0 X 265 X 1219 (S)</v>
          </cell>
          <cell r="H178" t="str">
            <v>SHE</v>
          </cell>
          <cell r="I178">
            <v>50</v>
          </cell>
        </row>
        <row r="179">
          <cell r="F179">
            <v>50016122</v>
          </cell>
          <cell r="G179" t="str">
            <v>SPHC-P/O  2.0 X 285 X 1219</v>
          </cell>
          <cell r="H179" t="str">
            <v>SHE</v>
          </cell>
          <cell r="I179">
            <v>259</v>
          </cell>
        </row>
        <row r="180">
          <cell r="F180">
            <v>50016162</v>
          </cell>
          <cell r="G180" t="str">
            <v>SPHC-P/O  4.0 X 200 X 1219</v>
          </cell>
          <cell r="H180" t="str">
            <v>SHE</v>
          </cell>
          <cell r="I180">
            <v>216</v>
          </cell>
        </row>
        <row r="181">
          <cell r="F181">
            <v>50016659</v>
          </cell>
          <cell r="G181" t="str">
            <v>STKM-HTB617(IBC)  OD19.1 X 1.4 X 6000</v>
          </cell>
          <cell r="H181" t="str">
            <v>PC</v>
          </cell>
          <cell r="I181">
            <v>1</v>
          </cell>
        </row>
        <row r="182">
          <cell r="F182">
            <v>50020574</v>
          </cell>
          <cell r="G182" t="str">
            <v>SPCC  1.4 X 200 X 520</v>
          </cell>
          <cell r="H182" t="str">
            <v>SHE</v>
          </cell>
          <cell r="I182">
            <v>400</v>
          </cell>
        </row>
        <row r="183">
          <cell r="F183">
            <v>50020647</v>
          </cell>
          <cell r="G183" t="str">
            <v>STKM11A OD12.7 X 1.6 X 411.4</v>
          </cell>
          <cell r="H183" t="str">
            <v>PC</v>
          </cell>
          <cell r="I183">
            <v>50</v>
          </cell>
        </row>
        <row r="184">
          <cell r="F184">
            <v>50020768</v>
          </cell>
          <cell r="G184" t="str">
            <v>SK5 2.00 X 303 X 914 (S)</v>
          </cell>
          <cell r="H184" t="str">
            <v>SHE</v>
          </cell>
          <cell r="I184">
            <v>120</v>
          </cell>
        </row>
        <row r="185">
          <cell r="F185">
            <v>50020787</v>
          </cell>
          <cell r="G185" t="str">
            <v>JNC270F-17/S  0.8 X 350 X 390 (S)</v>
          </cell>
          <cell r="H185" t="str">
            <v>SHE</v>
          </cell>
          <cell r="I185">
            <v>89</v>
          </cell>
        </row>
        <row r="186">
          <cell r="F186">
            <v>50020792</v>
          </cell>
          <cell r="G186" t="str">
            <v>YST490N(IBC) OD 45.0 X 2.3 X 1200</v>
          </cell>
          <cell r="H186" t="str">
            <v>PC</v>
          </cell>
          <cell r="I186">
            <v>300</v>
          </cell>
        </row>
        <row r="187">
          <cell r="F187">
            <v>50020834</v>
          </cell>
          <cell r="G187" t="str">
            <v>SPCC-SD 0.60 X 285 X 580</v>
          </cell>
          <cell r="H187" t="str">
            <v>SHE</v>
          </cell>
          <cell r="I187">
            <v>16000</v>
          </cell>
        </row>
        <row r="188">
          <cell r="F188">
            <v>50021075</v>
          </cell>
          <cell r="G188" t="str">
            <v>STKM11A(IBC)  50x30 X 3.2 X 1630</v>
          </cell>
          <cell r="H188" t="str">
            <v>PC</v>
          </cell>
          <cell r="I188">
            <v>200</v>
          </cell>
        </row>
        <row r="189">
          <cell r="F189">
            <v>50021076</v>
          </cell>
          <cell r="G189" t="str">
            <v>YST290K-P OD48.6 X 2.0 X 1805</v>
          </cell>
          <cell r="H189" t="str">
            <v>PC</v>
          </cell>
          <cell r="I189">
            <v>50</v>
          </cell>
        </row>
        <row r="190">
          <cell r="F190">
            <v>50021167</v>
          </cell>
          <cell r="G190" t="str">
            <v>SPCC  1.4 X 200 X 500</v>
          </cell>
          <cell r="H190" t="str">
            <v>SHE</v>
          </cell>
          <cell r="I190">
            <v>400</v>
          </cell>
        </row>
        <row r="191">
          <cell r="F191">
            <v>50021197</v>
          </cell>
          <cell r="G191" t="str">
            <v>YST290N(N-IBC) OD28.6 X 1.6 X 540</v>
          </cell>
          <cell r="H191" t="str">
            <v>PC</v>
          </cell>
          <cell r="I191">
            <v>300</v>
          </cell>
        </row>
        <row r="192">
          <cell r="F192">
            <v>50021268</v>
          </cell>
          <cell r="G192" t="str">
            <v>YST490N(IBC) OD48.6 X 2.0 X 1360</v>
          </cell>
          <cell r="H192" t="str">
            <v>PC</v>
          </cell>
          <cell r="I192">
            <v>600</v>
          </cell>
        </row>
        <row r="193">
          <cell r="F193">
            <v>50021451</v>
          </cell>
          <cell r="G193" t="str">
            <v>STKM-HTB60(IBC) OD48.6 X 2.0T X 6000 (S)</v>
          </cell>
          <cell r="H193" t="str">
            <v>PC</v>
          </cell>
          <cell r="I193">
            <v>8</v>
          </cell>
        </row>
        <row r="194">
          <cell r="F194">
            <v>50021460</v>
          </cell>
          <cell r="G194" t="str">
            <v>STKM11A E-G,AZ150 OD19.1 X 1.2 X 235</v>
          </cell>
          <cell r="H194" t="str">
            <v>PC</v>
          </cell>
          <cell r="I194">
            <v>2000</v>
          </cell>
        </row>
        <row r="195">
          <cell r="F195">
            <v>50021479</v>
          </cell>
          <cell r="G195" t="str">
            <v>STKM-HTB60(IBC) OD31.8 X 2.3T X 6000 (S)</v>
          </cell>
          <cell r="H195" t="str">
            <v>PC</v>
          </cell>
          <cell r="I195">
            <v>16</v>
          </cell>
        </row>
        <row r="196">
          <cell r="F196">
            <v>50021536</v>
          </cell>
          <cell r="G196" t="str">
            <v>SPHC-P 2.3 X 380 X 490</v>
          </cell>
          <cell r="H196" t="str">
            <v>SHE</v>
          </cell>
          <cell r="I196">
            <v>200</v>
          </cell>
        </row>
        <row r="197">
          <cell r="F197">
            <v>50021630</v>
          </cell>
          <cell r="G197" t="str">
            <v>SPCEN-SD 1.0 X 350 X 1090 (S)</v>
          </cell>
          <cell r="H197" t="str">
            <v>SHE</v>
          </cell>
          <cell r="I197">
            <v>150</v>
          </cell>
        </row>
        <row r="198">
          <cell r="F198">
            <v>50021633</v>
          </cell>
          <cell r="G198" t="str">
            <v>STKM11A-EG(PZ) OD 19.1 X 1.2T X 334</v>
          </cell>
          <cell r="H198" t="str">
            <v>PC</v>
          </cell>
          <cell r="I198">
            <v>2000</v>
          </cell>
        </row>
        <row r="199">
          <cell r="F199">
            <v>50021764</v>
          </cell>
          <cell r="G199" t="str">
            <v>YSC270C  0.5 X 300 X 610</v>
          </cell>
          <cell r="H199" t="str">
            <v>SHE</v>
          </cell>
          <cell r="I199">
            <v>800</v>
          </cell>
        </row>
        <row r="200">
          <cell r="F200">
            <v>50021765</v>
          </cell>
          <cell r="G200" t="str">
            <v>YSC270C  0.5 X 340 X 620</v>
          </cell>
          <cell r="H200" t="str">
            <v>SHE</v>
          </cell>
          <cell r="I200">
            <v>800</v>
          </cell>
        </row>
        <row r="201">
          <cell r="F201">
            <v>50021767</v>
          </cell>
          <cell r="G201" t="str">
            <v>STAM290GA(IBC)  48.6 X 3.5 X 204 FDL</v>
          </cell>
          <cell r="H201" t="str">
            <v>PC</v>
          </cell>
          <cell r="I201">
            <v>800</v>
          </cell>
        </row>
        <row r="202">
          <cell r="F202">
            <v>50021768</v>
          </cell>
          <cell r="G202" t="str">
            <v>STAM290GA(IBC) 48.6 X 3.5 X 204 PP &amp;FDL</v>
          </cell>
          <cell r="H202" t="str">
            <v>PC</v>
          </cell>
          <cell r="I202">
            <v>6400</v>
          </cell>
        </row>
        <row r="203">
          <cell r="F203">
            <v>50021774</v>
          </cell>
          <cell r="G203" t="str">
            <v>JNC270F-17/S 0.80 X 405 X 345</v>
          </cell>
          <cell r="H203" t="str">
            <v>SHE</v>
          </cell>
          <cell r="I203">
            <v>1200</v>
          </cell>
        </row>
        <row r="204">
          <cell r="F204">
            <v>50021775</v>
          </cell>
          <cell r="G204" t="str">
            <v>JNC270F-17/S 0.80 X 390 X 335</v>
          </cell>
          <cell r="H204" t="str">
            <v>SHE</v>
          </cell>
          <cell r="I204">
            <v>1200</v>
          </cell>
        </row>
        <row r="205">
          <cell r="F205">
            <v>50021897</v>
          </cell>
          <cell r="G205" t="str">
            <v>SAPH440 2.0 X 145 X 1219 (S)</v>
          </cell>
          <cell r="H205" t="str">
            <v>SHE</v>
          </cell>
          <cell r="I205">
            <v>7</v>
          </cell>
        </row>
        <row r="206">
          <cell r="F206">
            <v>50021898</v>
          </cell>
          <cell r="G206" t="str">
            <v>SAPH440 2.0 X 225 X 1219 (S)</v>
          </cell>
          <cell r="H206" t="str">
            <v>SHE</v>
          </cell>
          <cell r="I206">
            <v>5</v>
          </cell>
        </row>
        <row r="207">
          <cell r="F207">
            <v>50021919</v>
          </cell>
          <cell r="G207" t="str">
            <v>SPHC P/O 2.3 X 495 X 1130</v>
          </cell>
          <cell r="H207" t="str">
            <v>SHE</v>
          </cell>
          <cell r="I207">
            <v>300</v>
          </cell>
        </row>
        <row r="208">
          <cell r="F208">
            <v>50021935</v>
          </cell>
          <cell r="G208" t="str">
            <v>SAPH440 2.0 X 170 X 1219</v>
          </cell>
          <cell r="H208" t="str">
            <v>SHE</v>
          </cell>
          <cell r="I208">
            <v>100</v>
          </cell>
        </row>
        <row r="209">
          <cell r="F209">
            <v>50021936</v>
          </cell>
          <cell r="G209" t="str">
            <v>SPCC 1.4 X 476 X 290 (S)</v>
          </cell>
          <cell r="H209" t="str">
            <v>SHE</v>
          </cell>
          <cell r="I209">
            <v>202</v>
          </cell>
        </row>
        <row r="210">
          <cell r="F210">
            <v>50021937</v>
          </cell>
          <cell r="G210" t="str">
            <v>SPCEN-SD 1.6 X 258 X 1110 (S)</v>
          </cell>
          <cell r="H210" t="str">
            <v>SHE</v>
          </cell>
          <cell r="I210">
            <v>200</v>
          </cell>
        </row>
        <row r="211">
          <cell r="F211">
            <v>50022035</v>
          </cell>
          <cell r="G211" t="str">
            <v>STKM-HTB60(IBC) OD19.1 X 1.4T X 5800</v>
          </cell>
          <cell r="H211" t="str">
            <v>PC</v>
          </cell>
          <cell r="I211">
            <v>1</v>
          </cell>
        </row>
        <row r="212">
          <cell r="F212">
            <v>50022036</v>
          </cell>
          <cell r="G212" t="str">
            <v>JNC270F-17/S 0.80 X 390 X 275</v>
          </cell>
          <cell r="H212" t="str">
            <v>SHE</v>
          </cell>
          <cell r="I212">
            <v>1200</v>
          </cell>
        </row>
        <row r="213">
          <cell r="F213">
            <v>50022037</v>
          </cell>
          <cell r="G213" t="str">
            <v>JNC270F-17/S 0.80 X 420 X 340</v>
          </cell>
          <cell r="H213" t="str">
            <v>SHE</v>
          </cell>
          <cell r="I213">
            <v>900</v>
          </cell>
        </row>
        <row r="214">
          <cell r="F214">
            <v>50022110</v>
          </cell>
          <cell r="G214" t="str">
            <v>SPCC 1.60 X 500 X 800 (S)</v>
          </cell>
          <cell r="H214" t="str">
            <v>SHE</v>
          </cell>
          <cell r="I214">
            <v>139</v>
          </cell>
        </row>
        <row r="215">
          <cell r="F215">
            <v>50022125</v>
          </cell>
          <cell r="G215" t="str">
            <v>STAM290GA(IBC) OD 22.2 X 3.2T X 161</v>
          </cell>
          <cell r="H215" t="str">
            <v>PC</v>
          </cell>
          <cell r="I215">
            <v>2000</v>
          </cell>
        </row>
        <row r="216">
          <cell r="F216">
            <v>50022126</v>
          </cell>
          <cell r="G216" t="str">
            <v>STAM290GA(IBC)  48.6 X 3.5 X 204</v>
          </cell>
          <cell r="H216" t="str">
            <v>PC</v>
          </cell>
          <cell r="I216">
            <v>1600</v>
          </cell>
        </row>
        <row r="217">
          <cell r="F217">
            <v>50022276</v>
          </cell>
          <cell r="G217" t="str">
            <v>JNC270F-17/S  0.8 X 360 x 335 (S)</v>
          </cell>
          <cell r="H217" t="str">
            <v>SHE</v>
          </cell>
          <cell r="I217">
            <v>900</v>
          </cell>
        </row>
        <row r="218">
          <cell r="F218">
            <v>50022277</v>
          </cell>
          <cell r="G218" t="str">
            <v>JNC270F-17/S  0.8 X 375 x 350 (S)</v>
          </cell>
          <cell r="H218" t="str">
            <v>SHE</v>
          </cell>
          <cell r="I218">
            <v>900</v>
          </cell>
        </row>
        <row r="219">
          <cell r="F219">
            <v>50022286</v>
          </cell>
          <cell r="G219" t="str">
            <v>JNC270F-17/S  0.8 X 375 X 440</v>
          </cell>
          <cell r="H219" t="str">
            <v>SHE</v>
          </cell>
          <cell r="I219">
            <v>300</v>
          </cell>
        </row>
        <row r="220">
          <cell r="F220">
            <v>50022287</v>
          </cell>
          <cell r="G220" t="str">
            <v>JNC270F-17/S  0.8 X 470 X 280</v>
          </cell>
          <cell r="H220" t="str">
            <v>SHE</v>
          </cell>
          <cell r="I220">
            <v>1500</v>
          </cell>
        </row>
        <row r="221">
          <cell r="F221">
            <v>50022288</v>
          </cell>
          <cell r="G221" t="str">
            <v>JNC270F-17/S  0.8 X 460 X 280</v>
          </cell>
          <cell r="H221" t="str">
            <v>SHE</v>
          </cell>
          <cell r="I221">
            <v>1500</v>
          </cell>
        </row>
        <row r="222">
          <cell r="F222">
            <v>50022289</v>
          </cell>
          <cell r="G222" t="str">
            <v>JNC270F-17/S  0.8 X 330 X 350</v>
          </cell>
          <cell r="H222" t="str">
            <v>SHE</v>
          </cell>
          <cell r="I222">
            <v>600</v>
          </cell>
        </row>
        <row r="223">
          <cell r="F223">
            <v>50022290</v>
          </cell>
          <cell r="G223" t="str">
            <v>JNC270F-17/S  0.8 X 365 X 370</v>
          </cell>
          <cell r="H223" t="str">
            <v>SHE</v>
          </cell>
          <cell r="I223">
            <v>900</v>
          </cell>
        </row>
        <row r="224">
          <cell r="F224">
            <v>50022291</v>
          </cell>
          <cell r="G224" t="str">
            <v>JNC270F-17/S 0.80 x 440 x 460</v>
          </cell>
          <cell r="H224" t="str">
            <v>SHE</v>
          </cell>
          <cell r="I224">
            <v>2400</v>
          </cell>
        </row>
        <row r="225">
          <cell r="F225">
            <v>50022292</v>
          </cell>
          <cell r="G225" t="str">
            <v>JNC270F-17/S 0.80 x 440 x 470</v>
          </cell>
          <cell r="H225" t="str">
            <v>SHE</v>
          </cell>
          <cell r="I225">
            <v>2100</v>
          </cell>
        </row>
        <row r="226">
          <cell r="F226">
            <v>50022297</v>
          </cell>
          <cell r="G226" t="str">
            <v>SS400 6.0x173x440 (S)</v>
          </cell>
          <cell r="H226" t="str">
            <v>SHE</v>
          </cell>
          <cell r="I226">
            <v>100</v>
          </cell>
        </row>
        <row r="227">
          <cell r="F227">
            <v>50022298</v>
          </cell>
          <cell r="G227" t="str">
            <v>SS400 6.0x173x529 (S)</v>
          </cell>
          <cell r="H227" t="str">
            <v>SHE</v>
          </cell>
          <cell r="I227">
            <v>200</v>
          </cell>
        </row>
        <row r="228">
          <cell r="F228">
            <v>50022332</v>
          </cell>
          <cell r="G228" t="str">
            <v>JNC270F-17/S 1.20 X 305 X 350</v>
          </cell>
          <cell r="H228" t="str">
            <v>SHE</v>
          </cell>
          <cell r="I228">
            <v>0</v>
          </cell>
        </row>
        <row r="229">
          <cell r="F229">
            <v>50022423</v>
          </cell>
          <cell r="G229" t="str">
            <v>STKM11A (N-IBC)OD 15.9 X 1.6T X 310_BORE</v>
          </cell>
          <cell r="H229" t="str">
            <v>PC</v>
          </cell>
          <cell r="I229">
            <v>400</v>
          </cell>
        </row>
        <row r="230">
          <cell r="F230">
            <v>50022468</v>
          </cell>
          <cell r="G230" t="str">
            <v>NSSC436S 1.00 X 320 X 1000</v>
          </cell>
          <cell r="H230" t="str">
            <v>SHE</v>
          </cell>
          <cell r="I230">
            <v>35</v>
          </cell>
        </row>
        <row r="231">
          <cell r="F231">
            <v>50022669</v>
          </cell>
          <cell r="G231" t="str">
            <v>STK400 OD 22.0 X 2.5T X 700 (S)</v>
          </cell>
          <cell r="H231" t="str">
            <v>PC</v>
          </cell>
          <cell r="I231">
            <v>60</v>
          </cell>
        </row>
        <row r="232">
          <cell r="F232">
            <v>50022670</v>
          </cell>
          <cell r="G232" t="str">
            <v>STK400 OD 22.0 X 2.5T X 455 (S)</v>
          </cell>
          <cell r="H232" t="str">
            <v>PC</v>
          </cell>
          <cell r="I232">
            <v>0</v>
          </cell>
        </row>
        <row r="233">
          <cell r="F233">
            <v>50022756</v>
          </cell>
          <cell r="G233" t="str">
            <v>JFE-CG-EZN-0/20 1.00 X 350 X 420</v>
          </cell>
          <cell r="H233" t="str">
            <v>SHE</v>
          </cell>
          <cell r="I233">
            <v>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nom.The@thaisummit.co.th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5F6E-31CA-4307-B111-55F14B118776}">
  <sheetPr>
    <tabColor theme="0"/>
  </sheetPr>
  <dimension ref="A1:X109"/>
  <sheetViews>
    <sheetView showGridLines="0" zoomScale="85" zoomScaleNormal="85" zoomScaleSheetLayoutView="40" workbookViewId="0">
      <pane ySplit="10" topLeftCell="A17" activePane="bottomLeft" state="frozen"/>
      <selection activeCell="C13" sqref="C13:M14"/>
      <selection pane="bottomLeft" activeCell="G16" sqref="G16"/>
    </sheetView>
  </sheetViews>
  <sheetFormatPr defaultColWidth="9" defaultRowHeight="10.199999999999999"/>
  <cols>
    <col min="1" max="1" width="5.21875" style="2" customWidth="1"/>
    <col min="2" max="2" width="10" style="3" customWidth="1"/>
    <col min="3" max="3" width="6.44140625" style="3" customWidth="1"/>
    <col min="4" max="4" width="26.88671875" style="2" customWidth="1"/>
    <col min="5" max="5" width="11.6640625" style="6" bestFit="1" customWidth="1"/>
    <col min="6" max="6" width="29.44140625" style="2" customWidth="1"/>
    <col min="7" max="7" width="34.21875" style="2" customWidth="1"/>
    <col min="8" max="8" width="16" style="2" customWidth="1"/>
    <col min="9" max="9" width="6.44140625" style="2" customWidth="1"/>
    <col min="10" max="15" width="8.44140625" style="2" customWidth="1"/>
    <col min="16" max="16" width="7.88671875" style="2" customWidth="1"/>
    <col min="17" max="18" width="8.6640625" style="2" customWidth="1"/>
    <col min="19" max="22" width="9.6640625" style="2" customWidth="1"/>
    <col min="23" max="23" width="6.5546875" style="2" customWidth="1"/>
    <col min="24" max="16384" width="9" style="2"/>
  </cols>
  <sheetData>
    <row r="1" spans="1:24" s="1" customFormat="1" ht="15" customHeight="1">
      <c r="A1" s="8"/>
      <c r="B1" s="9" t="s">
        <v>15</v>
      </c>
      <c r="C1" s="9"/>
      <c r="D1" s="10"/>
      <c r="E1" s="146" t="s">
        <v>265</v>
      </c>
      <c r="F1" s="147"/>
      <c r="G1" s="147"/>
      <c r="H1" s="147"/>
      <c r="I1" s="147"/>
      <c r="J1" s="147"/>
      <c r="K1" s="147"/>
      <c r="L1" s="147"/>
      <c r="M1" s="147"/>
      <c r="N1" s="147"/>
      <c r="O1" s="152" t="s">
        <v>9</v>
      </c>
      <c r="P1" s="152"/>
      <c r="Q1" s="152" t="s">
        <v>10</v>
      </c>
      <c r="R1" s="152"/>
      <c r="S1" s="152" t="s">
        <v>11</v>
      </c>
      <c r="T1" s="152"/>
      <c r="U1" s="153" t="s">
        <v>22</v>
      </c>
      <c r="V1" s="153"/>
    </row>
    <row r="2" spans="1:24" s="1" customFormat="1" ht="20.25" customHeight="1">
      <c r="A2" s="11"/>
      <c r="B2" s="3" t="s">
        <v>16</v>
      </c>
      <c r="C2" s="3"/>
      <c r="D2" s="12"/>
      <c r="E2" s="148"/>
      <c r="F2" s="149"/>
      <c r="G2" s="149"/>
      <c r="H2" s="149"/>
      <c r="I2" s="149"/>
      <c r="J2" s="149"/>
      <c r="K2" s="149"/>
      <c r="L2" s="149"/>
      <c r="M2" s="149"/>
      <c r="N2" s="149"/>
      <c r="O2" s="41"/>
      <c r="P2" s="42"/>
      <c r="Q2" s="13"/>
      <c r="R2" s="18"/>
      <c r="S2" s="13"/>
      <c r="T2" s="18"/>
      <c r="U2" s="11"/>
      <c r="V2" s="12"/>
    </row>
    <row r="3" spans="1:24" ht="11.25" customHeight="1">
      <c r="A3" s="14"/>
      <c r="B3" s="15"/>
      <c r="C3" s="15"/>
      <c r="D3" s="39"/>
      <c r="E3" s="148"/>
      <c r="F3" s="149"/>
      <c r="G3" s="149"/>
      <c r="H3" s="149"/>
      <c r="I3" s="149"/>
      <c r="J3" s="149"/>
      <c r="K3" s="149"/>
      <c r="L3" s="149"/>
      <c r="M3" s="149"/>
      <c r="N3" s="149"/>
      <c r="O3" s="154" t="s">
        <v>31</v>
      </c>
      <c r="P3" s="155"/>
      <c r="Q3" s="156" t="s">
        <v>32</v>
      </c>
      <c r="R3" s="157"/>
      <c r="S3" s="158" t="s">
        <v>434</v>
      </c>
      <c r="T3" s="159"/>
      <c r="U3" s="156" t="s">
        <v>438</v>
      </c>
      <c r="V3" s="157"/>
    </row>
    <row r="4" spans="1:24" ht="11.25" customHeight="1">
      <c r="A4" s="37"/>
      <c r="B4" s="38"/>
      <c r="C4" s="38"/>
      <c r="D4" s="40"/>
      <c r="E4" s="150"/>
      <c r="F4" s="151"/>
      <c r="G4" s="151"/>
      <c r="H4" s="151"/>
      <c r="I4" s="151"/>
      <c r="J4" s="151"/>
      <c r="K4" s="151"/>
      <c r="L4" s="151"/>
      <c r="M4" s="151"/>
      <c r="N4" s="151"/>
      <c r="O4" s="135" t="s">
        <v>17</v>
      </c>
      <c r="P4" s="136"/>
      <c r="Q4" s="135" t="s">
        <v>18</v>
      </c>
      <c r="R4" s="136"/>
      <c r="S4" s="140" t="s">
        <v>19</v>
      </c>
      <c r="T4" s="141"/>
      <c r="U4" s="140" t="s">
        <v>19</v>
      </c>
      <c r="V4" s="141"/>
    </row>
    <row r="5" spans="1:24" ht="13.5" customHeight="1">
      <c r="A5" s="14" t="s">
        <v>4</v>
      </c>
      <c r="B5" s="15"/>
      <c r="C5" s="15"/>
      <c r="D5" s="16"/>
      <c r="E5" s="49" t="s">
        <v>29</v>
      </c>
      <c r="F5" s="56"/>
      <c r="G5" s="56"/>
      <c r="H5" s="56"/>
      <c r="I5" s="71" t="s">
        <v>23</v>
      </c>
      <c r="J5" s="70" t="s">
        <v>435</v>
      </c>
      <c r="K5" s="57"/>
      <c r="L5" s="69" t="s">
        <v>31</v>
      </c>
      <c r="M5" s="58"/>
      <c r="N5" s="66"/>
      <c r="O5" s="67"/>
      <c r="P5" s="68"/>
      <c r="Q5" s="74" t="s">
        <v>27</v>
      </c>
      <c r="R5" s="75"/>
      <c r="S5" s="75"/>
      <c r="T5" s="75"/>
      <c r="U5" s="75"/>
      <c r="V5" s="76"/>
    </row>
    <row r="6" spans="1:24" ht="13.5" customHeight="1">
      <c r="A6" s="59"/>
      <c r="B6" s="60"/>
      <c r="C6" s="60"/>
      <c r="D6" s="60"/>
      <c r="E6" s="49"/>
      <c r="F6" s="61"/>
      <c r="G6" s="61"/>
      <c r="H6" s="61"/>
      <c r="I6" s="56"/>
      <c r="J6" s="62"/>
      <c r="K6" s="57"/>
      <c r="L6" s="142"/>
      <c r="M6" s="142"/>
      <c r="N6" s="56"/>
      <c r="O6" s="60"/>
      <c r="P6" s="60"/>
      <c r="Q6" s="50" t="s">
        <v>24</v>
      </c>
      <c r="R6" s="51"/>
      <c r="S6" s="51"/>
      <c r="T6" s="51"/>
      <c r="U6" s="51"/>
      <c r="V6" s="52"/>
    </row>
    <row r="7" spans="1:24" ht="13.5" customHeight="1">
      <c r="A7" s="14" t="s">
        <v>12</v>
      </c>
      <c r="B7" s="15"/>
      <c r="C7" s="15"/>
      <c r="D7" s="16"/>
      <c r="E7" s="49" t="s">
        <v>30</v>
      </c>
      <c r="F7" s="17"/>
      <c r="G7" s="17"/>
      <c r="H7" s="17"/>
      <c r="I7" s="56" t="s">
        <v>26</v>
      </c>
      <c r="J7" s="77" t="s">
        <v>28</v>
      </c>
      <c r="K7" s="72"/>
      <c r="L7" s="73"/>
      <c r="M7" s="56"/>
      <c r="N7" s="56"/>
      <c r="O7" s="60"/>
      <c r="P7" s="60"/>
      <c r="Q7" s="50" t="s">
        <v>25</v>
      </c>
      <c r="R7" s="51"/>
      <c r="S7" s="51"/>
      <c r="T7" s="51"/>
      <c r="U7" s="51"/>
      <c r="V7" s="52"/>
    </row>
    <row r="8" spans="1:24" ht="13.5" customHeight="1">
      <c r="A8" s="59"/>
      <c r="B8" s="60"/>
      <c r="C8" s="60"/>
      <c r="D8" s="60"/>
      <c r="E8" s="60"/>
      <c r="F8" s="60"/>
      <c r="G8" s="60"/>
      <c r="H8" s="60"/>
      <c r="I8" s="63"/>
      <c r="J8" s="62"/>
      <c r="K8" s="57"/>
      <c r="L8" s="142"/>
      <c r="M8" s="142"/>
      <c r="N8" s="63"/>
      <c r="O8" s="60"/>
      <c r="P8" s="60"/>
      <c r="Q8" s="53"/>
      <c r="R8" s="54"/>
      <c r="S8" s="54"/>
      <c r="T8" s="54"/>
      <c r="U8" s="54"/>
      <c r="V8" s="55"/>
    </row>
    <row r="9" spans="1:24" ht="13.5" customHeight="1">
      <c r="A9" s="107" t="s">
        <v>451</v>
      </c>
      <c r="B9" s="111"/>
      <c r="C9" s="111"/>
      <c r="D9" s="108"/>
      <c r="E9" s="109" t="s">
        <v>14</v>
      </c>
      <c r="F9" s="110" t="s">
        <v>473</v>
      </c>
      <c r="G9" s="110"/>
      <c r="H9" s="110"/>
      <c r="I9" s="64"/>
      <c r="J9" s="62"/>
      <c r="K9" s="64"/>
      <c r="L9" s="56"/>
      <c r="M9" s="56"/>
      <c r="N9" s="65"/>
      <c r="O9" s="65"/>
      <c r="P9" s="65"/>
      <c r="Q9" s="143" t="s">
        <v>13</v>
      </c>
      <c r="R9" s="144"/>
      <c r="S9" s="144"/>
      <c r="T9" s="144"/>
      <c r="U9" s="144"/>
      <c r="V9" s="145"/>
    </row>
    <row r="10" spans="1:24" s="5" customFormat="1" ht="20.25" customHeight="1">
      <c r="A10" s="4" t="s">
        <v>0</v>
      </c>
      <c r="B10" s="32" t="s">
        <v>21</v>
      </c>
      <c r="C10" s="35"/>
      <c r="D10" s="36" t="s">
        <v>1</v>
      </c>
      <c r="E10" s="33" t="s">
        <v>2</v>
      </c>
      <c r="F10" s="4" t="s">
        <v>3</v>
      </c>
      <c r="G10" s="4" t="s">
        <v>452</v>
      </c>
      <c r="H10" s="4" t="s">
        <v>453</v>
      </c>
      <c r="I10" s="4" t="s">
        <v>5</v>
      </c>
      <c r="J10" s="7" t="s">
        <v>437</v>
      </c>
      <c r="K10" s="7" t="s">
        <v>439</v>
      </c>
      <c r="L10" s="7" t="s">
        <v>440</v>
      </c>
      <c r="M10" s="7" t="s">
        <v>441</v>
      </c>
      <c r="N10" s="7" t="s">
        <v>442</v>
      </c>
      <c r="O10" s="7" t="s">
        <v>449</v>
      </c>
      <c r="P10" s="43" t="s">
        <v>20</v>
      </c>
      <c r="Q10" s="30" t="s">
        <v>7</v>
      </c>
      <c r="R10" s="30" t="s">
        <v>8</v>
      </c>
      <c r="S10" s="137" t="s">
        <v>6</v>
      </c>
      <c r="T10" s="138"/>
      <c r="U10" s="138"/>
      <c r="V10" s="139"/>
    </row>
    <row r="11" spans="1:24" ht="18.75" customHeight="1">
      <c r="A11" s="19">
        <v>1</v>
      </c>
      <c r="B11" s="34" t="s">
        <v>33</v>
      </c>
      <c r="C11" s="86">
        <v>100991</v>
      </c>
      <c r="D11" s="87" t="s">
        <v>276</v>
      </c>
      <c r="E11" s="102">
        <v>50000635</v>
      </c>
      <c r="F11" s="103" t="s">
        <v>243</v>
      </c>
      <c r="G11" s="103"/>
      <c r="H11" s="103"/>
      <c r="I11" s="102"/>
      <c r="J11" s="101" t="s">
        <v>34</v>
      </c>
      <c r="K11" s="101" t="s">
        <v>34</v>
      </c>
      <c r="L11" s="101" t="s">
        <v>34</v>
      </c>
      <c r="M11" s="101" t="s">
        <v>34</v>
      </c>
      <c r="N11" s="101" t="s">
        <v>34</v>
      </c>
      <c r="O11" s="101" t="s">
        <v>34</v>
      </c>
      <c r="P11" s="31" t="s">
        <v>36</v>
      </c>
      <c r="Q11" s="20"/>
      <c r="R11" s="21"/>
      <c r="S11" s="22"/>
      <c r="T11" s="23"/>
      <c r="U11" s="23"/>
      <c r="V11" s="24"/>
      <c r="X11" s="2" t="e">
        <f>VLOOKUP(E11,'[1]STOCK  21.03.2018'!$F$6:$H$228,3,0)</f>
        <v>#N/A</v>
      </c>
    </row>
    <row r="12" spans="1:24" ht="18.75" customHeight="1">
      <c r="A12" s="25">
        <v>2</v>
      </c>
      <c r="B12" s="26" t="s">
        <v>33</v>
      </c>
      <c r="C12" s="86">
        <v>100991</v>
      </c>
      <c r="D12" s="87" t="s">
        <v>276</v>
      </c>
      <c r="E12" s="102">
        <v>50000637</v>
      </c>
      <c r="F12" s="103" t="s">
        <v>244</v>
      </c>
      <c r="G12" s="103"/>
      <c r="H12" s="103"/>
      <c r="I12" s="102"/>
      <c r="J12" s="101" t="s">
        <v>34</v>
      </c>
      <c r="K12" s="101" t="s">
        <v>34</v>
      </c>
      <c r="L12" s="101" t="s">
        <v>34</v>
      </c>
      <c r="M12" s="101" t="s">
        <v>34</v>
      </c>
      <c r="N12" s="101" t="s">
        <v>34</v>
      </c>
      <c r="O12" s="101" t="s">
        <v>34</v>
      </c>
      <c r="P12" s="31" t="s">
        <v>36</v>
      </c>
      <c r="Q12" s="20"/>
      <c r="R12" s="21"/>
      <c r="S12" s="27"/>
      <c r="T12" s="28"/>
      <c r="U12" s="28"/>
      <c r="V12" s="29"/>
      <c r="X12" s="2">
        <f>VLOOKUP(E12,'[1]STOCK  21.03.2018'!$F$6:$H$228,3,0)</f>
        <v>150</v>
      </c>
    </row>
    <row r="13" spans="1:24" ht="18.75" customHeight="1">
      <c r="A13" s="25">
        <v>3</v>
      </c>
      <c r="B13" s="26" t="s">
        <v>33</v>
      </c>
      <c r="C13" s="86">
        <v>100991</v>
      </c>
      <c r="D13" s="87" t="s">
        <v>276</v>
      </c>
      <c r="E13" s="102">
        <v>50000638</v>
      </c>
      <c r="F13" s="103" t="s">
        <v>245</v>
      </c>
      <c r="G13" s="103"/>
      <c r="H13" s="103"/>
      <c r="I13" s="102"/>
      <c r="J13" s="101" t="s">
        <v>34</v>
      </c>
      <c r="K13" s="101" t="s">
        <v>34</v>
      </c>
      <c r="L13" s="101" t="s">
        <v>34</v>
      </c>
      <c r="M13" s="101" t="s">
        <v>34</v>
      </c>
      <c r="N13" s="101" t="s">
        <v>34</v>
      </c>
      <c r="O13" s="101" t="s">
        <v>34</v>
      </c>
      <c r="P13" s="31" t="s">
        <v>36</v>
      </c>
      <c r="Q13" s="20"/>
      <c r="R13" s="21"/>
      <c r="S13" s="27"/>
      <c r="T13" s="28"/>
      <c r="U13" s="28"/>
      <c r="V13" s="29"/>
      <c r="X13" s="2">
        <f>VLOOKUP(E13,'[1]STOCK  21.03.2018'!$F$6:$H$228,3,0)</f>
        <v>690</v>
      </c>
    </row>
    <row r="14" spans="1:24" ht="18.75" customHeight="1">
      <c r="A14" s="25">
        <v>4</v>
      </c>
      <c r="B14" s="26" t="s">
        <v>33</v>
      </c>
      <c r="C14" s="86">
        <v>100991</v>
      </c>
      <c r="D14" s="87" t="s">
        <v>276</v>
      </c>
      <c r="E14" s="102">
        <v>50000639</v>
      </c>
      <c r="F14" s="103" t="s">
        <v>246</v>
      </c>
      <c r="G14" s="103"/>
      <c r="H14" s="103"/>
      <c r="I14" s="102"/>
      <c r="J14" s="101" t="s">
        <v>34</v>
      </c>
      <c r="K14" s="101" t="s">
        <v>34</v>
      </c>
      <c r="L14" s="101" t="s">
        <v>34</v>
      </c>
      <c r="M14" s="101" t="s">
        <v>34</v>
      </c>
      <c r="N14" s="101" t="s">
        <v>34</v>
      </c>
      <c r="O14" s="101" t="s">
        <v>34</v>
      </c>
      <c r="P14" s="31" t="s">
        <v>36</v>
      </c>
      <c r="Q14" s="20"/>
      <c r="R14" s="21"/>
      <c r="S14" s="27"/>
      <c r="T14" s="28"/>
      <c r="U14" s="28"/>
      <c r="V14" s="29"/>
      <c r="X14" s="2">
        <f>VLOOKUP(E14,'[1]STOCK  21.03.2018'!$F$6:$H$228,3,0)</f>
        <v>400</v>
      </c>
    </row>
    <row r="15" spans="1:24" ht="18.75" customHeight="1">
      <c r="A15" s="25">
        <v>5</v>
      </c>
      <c r="B15" s="26" t="s">
        <v>33</v>
      </c>
      <c r="C15" s="86">
        <v>100991</v>
      </c>
      <c r="D15" s="87" t="s">
        <v>276</v>
      </c>
      <c r="E15" s="102">
        <v>50000644</v>
      </c>
      <c r="F15" s="103" t="s">
        <v>247</v>
      </c>
      <c r="G15" s="103"/>
      <c r="H15" s="103"/>
      <c r="I15" s="102"/>
      <c r="J15" s="101" t="s">
        <v>34</v>
      </c>
      <c r="K15" s="101" t="s">
        <v>34</v>
      </c>
      <c r="L15" s="101" t="s">
        <v>34</v>
      </c>
      <c r="M15" s="101" t="s">
        <v>34</v>
      </c>
      <c r="N15" s="101" t="s">
        <v>34</v>
      </c>
      <c r="O15" s="101" t="s">
        <v>34</v>
      </c>
      <c r="P15" s="31" t="s">
        <v>36</v>
      </c>
      <c r="Q15" s="20"/>
      <c r="R15" s="21"/>
      <c r="S15" s="27"/>
      <c r="T15" s="28"/>
      <c r="U15" s="28"/>
      <c r="V15" s="29"/>
      <c r="X15" s="2" t="e">
        <f>VLOOKUP(E15,'[1]STOCK  21.03.2018'!$F$6:$H$228,3,0)</f>
        <v>#N/A</v>
      </c>
    </row>
    <row r="16" spans="1:24" ht="18.75" customHeight="1">
      <c r="A16" s="25">
        <v>6</v>
      </c>
      <c r="B16" s="26" t="s">
        <v>33</v>
      </c>
      <c r="C16" s="86">
        <v>100991</v>
      </c>
      <c r="D16" s="87" t="s">
        <v>276</v>
      </c>
      <c r="E16" s="102">
        <v>50002924</v>
      </c>
      <c r="F16" s="103" t="s">
        <v>248</v>
      </c>
      <c r="G16" s="103"/>
      <c r="H16" s="103"/>
      <c r="I16" s="102"/>
      <c r="J16" s="101" t="s">
        <v>34</v>
      </c>
      <c r="K16" s="101" t="s">
        <v>34</v>
      </c>
      <c r="L16" s="101" t="s">
        <v>34</v>
      </c>
      <c r="M16" s="101" t="s">
        <v>34</v>
      </c>
      <c r="N16" s="101" t="s">
        <v>34</v>
      </c>
      <c r="O16" s="101" t="s">
        <v>34</v>
      </c>
      <c r="P16" s="31" t="s">
        <v>36</v>
      </c>
      <c r="Q16" s="20"/>
      <c r="R16" s="21"/>
      <c r="S16" s="27"/>
      <c r="T16" s="28"/>
      <c r="U16" s="28"/>
      <c r="V16" s="29"/>
    </row>
    <row r="17" spans="1:24" ht="18.75" customHeight="1">
      <c r="A17" s="163">
        <v>7</v>
      </c>
      <c r="B17" s="164" t="s">
        <v>33</v>
      </c>
      <c r="C17" s="165">
        <v>100991</v>
      </c>
      <c r="D17" s="167" t="s">
        <v>276</v>
      </c>
      <c r="E17" s="169">
        <v>50024618</v>
      </c>
      <c r="F17" s="171" t="s">
        <v>454</v>
      </c>
      <c r="G17" s="103" t="s">
        <v>458</v>
      </c>
      <c r="H17" s="103" t="s">
        <v>457</v>
      </c>
      <c r="I17" s="169" t="s">
        <v>447</v>
      </c>
      <c r="J17" s="162" t="s">
        <v>34</v>
      </c>
      <c r="K17" s="162" t="s">
        <v>34</v>
      </c>
      <c r="L17" s="162">
        <v>500</v>
      </c>
      <c r="M17" s="162">
        <v>500</v>
      </c>
      <c r="N17" s="162" t="s">
        <v>34</v>
      </c>
      <c r="O17" s="162" t="s">
        <v>34</v>
      </c>
      <c r="P17" s="160" t="s">
        <v>35</v>
      </c>
      <c r="Q17" s="20"/>
      <c r="R17" s="21"/>
      <c r="S17" s="27"/>
      <c r="T17" s="28"/>
      <c r="U17" s="28"/>
      <c r="V17" s="29"/>
    </row>
    <row r="18" spans="1:24" ht="18.75" customHeight="1">
      <c r="A18" s="161"/>
      <c r="B18" s="161"/>
      <c r="C18" s="166"/>
      <c r="D18" s="168"/>
      <c r="E18" s="170"/>
      <c r="F18" s="172"/>
      <c r="G18" s="103" t="s">
        <v>455</v>
      </c>
      <c r="H18" s="103" t="s">
        <v>456</v>
      </c>
      <c r="I18" s="161"/>
      <c r="J18" s="161"/>
      <c r="K18" s="161"/>
      <c r="L18" s="161"/>
      <c r="M18" s="161"/>
      <c r="N18" s="161"/>
      <c r="O18" s="161"/>
      <c r="P18" s="161"/>
      <c r="Q18" s="20"/>
      <c r="R18" s="21"/>
      <c r="S18" s="27"/>
      <c r="T18" s="28"/>
      <c r="U18" s="28"/>
      <c r="V18" s="29"/>
    </row>
    <row r="19" spans="1:24" ht="18.75" customHeight="1">
      <c r="A19" s="163">
        <v>8</v>
      </c>
      <c r="B19" s="164" t="s">
        <v>33</v>
      </c>
      <c r="C19" s="165">
        <v>100991</v>
      </c>
      <c r="D19" s="167" t="s">
        <v>276</v>
      </c>
      <c r="E19" s="169">
        <v>50023958</v>
      </c>
      <c r="F19" s="171" t="s">
        <v>443</v>
      </c>
      <c r="G19" s="103" t="s">
        <v>459</v>
      </c>
      <c r="H19" s="103" t="s">
        <v>460</v>
      </c>
      <c r="I19" s="169" t="s">
        <v>447</v>
      </c>
      <c r="J19" s="162">
        <v>1200</v>
      </c>
      <c r="K19" s="162">
        <v>2400</v>
      </c>
      <c r="L19" s="162">
        <v>12500</v>
      </c>
      <c r="M19" s="162">
        <v>16000</v>
      </c>
      <c r="N19" s="162" t="s">
        <v>34</v>
      </c>
      <c r="O19" s="162" t="s">
        <v>34</v>
      </c>
      <c r="P19" s="160" t="s">
        <v>35</v>
      </c>
      <c r="Q19" s="20"/>
      <c r="R19" s="21"/>
      <c r="S19" s="27"/>
      <c r="T19" s="28"/>
      <c r="U19" s="28"/>
      <c r="V19" s="29"/>
    </row>
    <row r="20" spans="1:24" ht="18.75" customHeight="1">
      <c r="A20" s="161"/>
      <c r="B20" s="161"/>
      <c r="C20" s="166"/>
      <c r="D20" s="168"/>
      <c r="E20" s="170"/>
      <c r="F20" s="172"/>
      <c r="G20" s="103" t="s">
        <v>461</v>
      </c>
      <c r="H20" s="103" t="s">
        <v>460</v>
      </c>
      <c r="I20" s="161"/>
      <c r="J20" s="161"/>
      <c r="K20" s="161"/>
      <c r="L20" s="161"/>
      <c r="M20" s="161"/>
      <c r="N20" s="161"/>
      <c r="O20" s="161"/>
      <c r="P20" s="161"/>
      <c r="Q20" s="20"/>
      <c r="R20" s="21"/>
      <c r="S20" s="27"/>
      <c r="T20" s="28"/>
      <c r="U20" s="28"/>
      <c r="V20" s="29"/>
    </row>
    <row r="21" spans="1:24" ht="18.75" customHeight="1">
      <c r="A21" s="163">
        <v>9</v>
      </c>
      <c r="B21" s="164" t="s">
        <v>33</v>
      </c>
      <c r="C21" s="165">
        <v>100991</v>
      </c>
      <c r="D21" s="167" t="s">
        <v>276</v>
      </c>
      <c r="E21" s="169">
        <v>50024386</v>
      </c>
      <c r="F21" s="171" t="s">
        <v>450</v>
      </c>
      <c r="G21" s="103" t="s">
        <v>470</v>
      </c>
      <c r="H21" s="103">
        <v>8983865810</v>
      </c>
      <c r="I21" s="169" t="s">
        <v>447</v>
      </c>
      <c r="J21" s="162" t="s">
        <v>34</v>
      </c>
      <c r="K21" s="162" t="s">
        <v>34</v>
      </c>
      <c r="L21" s="162" t="s">
        <v>34</v>
      </c>
      <c r="M21" s="162" t="s">
        <v>34</v>
      </c>
      <c r="N21" s="162" t="s">
        <v>34</v>
      </c>
      <c r="O21" s="162" t="s">
        <v>34</v>
      </c>
      <c r="P21" s="160" t="s">
        <v>35</v>
      </c>
      <c r="Q21" s="20"/>
      <c r="R21" s="21"/>
      <c r="S21" s="27"/>
      <c r="T21" s="28"/>
      <c r="U21" s="28"/>
      <c r="V21" s="29"/>
    </row>
    <row r="22" spans="1:24" ht="18.75" customHeight="1">
      <c r="A22" s="161"/>
      <c r="B22" s="161"/>
      <c r="C22" s="166"/>
      <c r="D22" s="168"/>
      <c r="E22" s="170"/>
      <c r="F22" s="172"/>
      <c r="G22" s="103" t="s">
        <v>471</v>
      </c>
      <c r="H22" s="103">
        <v>8983865020</v>
      </c>
      <c r="I22" s="161"/>
      <c r="J22" s="161"/>
      <c r="K22" s="161"/>
      <c r="L22" s="161"/>
      <c r="M22" s="161"/>
      <c r="N22" s="161"/>
      <c r="O22" s="161"/>
      <c r="P22" s="161"/>
      <c r="Q22" s="20"/>
      <c r="R22" s="21"/>
      <c r="S22" s="27"/>
      <c r="T22" s="28"/>
      <c r="U22" s="28"/>
      <c r="V22" s="29"/>
    </row>
    <row r="23" spans="1:24" ht="18.75" customHeight="1">
      <c r="A23" s="25">
        <v>10</v>
      </c>
      <c r="B23" s="26" t="s">
        <v>33</v>
      </c>
      <c r="C23" s="86">
        <v>100991</v>
      </c>
      <c r="D23" s="87" t="s">
        <v>276</v>
      </c>
      <c r="E23" s="102">
        <v>50024064</v>
      </c>
      <c r="F23" s="103" t="s">
        <v>472</v>
      </c>
      <c r="G23" s="103" t="s">
        <v>462</v>
      </c>
      <c r="H23" s="103">
        <v>8983988420</v>
      </c>
      <c r="I23" s="102" t="s">
        <v>447</v>
      </c>
      <c r="J23" s="101" t="s">
        <v>34</v>
      </c>
      <c r="K23" s="101">
        <v>600</v>
      </c>
      <c r="L23" s="101">
        <v>2400</v>
      </c>
      <c r="M23" s="101">
        <v>4800</v>
      </c>
      <c r="N23" s="101" t="s">
        <v>34</v>
      </c>
      <c r="O23" s="101" t="s">
        <v>34</v>
      </c>
      <c r="P23" s="31" t="s">
        <v>35</v>
      </c>
      <c r="Q23" s="20"/>
      <c r="R23" s="21"/>
      <c r="S23" s="27"/>
      <c r="T23" s="28"/>
      <c r="U23" s="28"/>
      <c r="V23" s="29"/>
    </row>
    <row r="24" spans="1:24" ht="18.75" customHeight="1">
      <c r="A24" s="25">
        <v>11</v>
      </c>
      <c r="B24" s="26" t="s">
        <v>33</v>
      </c>
      <c r="C24" s="86">
        <v>100991</v>
      </c>
      <c r="D24" s="87" t="s">
        <v>276</v>
      </c>
      <c r="E24" s="102">
        <v>50024065</v>
      </c>
      <c r="F24" s="103" t="s">
        <v>444</v>
      </c>
      <c r="G24" s="103" t="s">
        <v>468</v>
      </c>
      <c r="H24" s="103" t="s">
        <v>469</v>
      </c>
      <c r="I24" s="102" t="s">
        <v>447</v>
      </c>
      <c r="J24" s="101" t="s">
        <v>34</v>
      </c>
      <c r="K24" s="101">
        <v>500</v>
      </c>
      <c r="L24" s="101" t="s">
        <v>34</v>
      </c>
      <c r="M24" s="101" t="s">
        <v>34</v>
      </c>
      <c r="N24" s="101" t="s">
        <v>34</v>
      </c>
      <c r="O24" s="101" t="s">
        <v>34</v>
      </c>
      <c r="P24" s="31" t="s">
        <v>35</v>
      </c>
      <c r="Q24" s="20"/>
      <c r="R24" s="21"/>
      <c r="S24" s="27"/>
      <c r="T24" s="28"/>
      <c r="U24" s="28"/>
      <c r="V24" s="29"/>
    </row>
    <row r="25" spans="1:24" ht="18.75" customHeight="1">
      <c r="A25" s="25">
        <v>12</v>
      </c>
      <c r="B25" s="26" t="s">
        <v>33</v>
      </c>
      <c r="C25" s="86">
        <v>100991</v>
      </c>
      <c r="D25" s="87" t="s">
        <v>276</v>
      </c>
      <c r="E25" s="102">
        <v>50023933</v>
      </c>
      <c r="F25" s="103" t="s">
        <v>448</v>
      </c>
      <c r="G25" s="103" t="s">
        <v>467</v>
      </c>
      <c r="H25" s="103">
        <v>8983917630</v>
      </c>
      <c r="I25" s="102" t="s">
        <v>447</v>
      </c>
      <c r="J25" s="101" t="s">
        <v>34</v>
      </c>
      <c r="K25" s="101">
        <v>600</v>
      </c>
      <c r="L25" s="101">
        <v>3600</v>
      </c>
      <c r="M25" s="101">
        <v>3600</v>
      </c>
      <c r="N25" s="101" t="s">
        <v>34</v>
      </c>
      <c r="O25" s="101" t="s">
        <v>34</v>
      </c>
      <c r="P25" s="31" t="s">
        <v>35</v>
      </c>
      <c r="Q25" s="20"/>
      <c r="R25" s="21"/>
      <c r="S25" s="27"/>
      <c r="T25" s="28"/>
      <c r="U25" s="28"/>
      <c r="V25" s="29"/>
    </row>
    <row r="26" spans="1:24" ht="18.75" customHeight="1">
      <c r="A26" s="25">
        <v>13</v>
      </c>
      <c r="B26" s="26" t="s">
        <v>33</v>
      </c>
      <c r="C26" s="86">
        <v>100991</v>
      </c>
      <c r="D26" s="87" t="s">
        <v>276</v>
      </c>
      <c r="E26" s="102">
        <v>50023414</v>
      </c>
      <c r="F26" s="103" t="s">
        <v>445</v>
      </c>
      <c r="G26" s="103" t="s">
        <v>463</v>
      </c>
      <c r="H26" s="103" t="s">
        <v>464</v>
      </c>
      <c r="I26" s="102" t="s">
        <v>447</v>
      </c>
      <c r="J26" s="101">
        <v>20</v>
      </c>
      <c r="K26" s="101">
        <v>200</v>
      </c>
      <c r="L26" s="101">
        <v>640</v>
      </c>
      <c r="M26" s="101">
        <v>640</v>
      </c>
      <c r="N26" s="101" t="s">
        <v>34</v>
      </c>
      <c r="O26" s="101" t="s">
        <v>34</v>
      </c>
      <c r="P26" s="31" t="s">
        <v>36</v>
      </c>
      <c r="Q26" s="20"/>
      <c r="R26" s="21"/>
      <c r="S26" s="27"/>
      <c r="T26" s="28"/>
      <c r="U26" s="28"/>
      <c r="V26" s="29"/>
    </row>
    <row r="27" spans="1:24" ht="18.75" customHeight="1">
      <c r="A27" s="25">
        <v>14</v>
      </c>
      <c r="B27" s="26" t="s">
        <v>33</v>
      </c>
      <c r="C27" s="86">
        <v>100991</v>
      </c>
      <c r="D27" s="87" t="s">
        <v>276</v>
      </c>
      <c r="E27" s="102">
        <v>50023415</v>
      </c>
      <c r="F27" s="103" t="s">
        <v>446</v>
      </c>
      <c r="G27" s="103" t="s">
        <v>465</v>
      </c>
      <c r="H27" s="103" t="s">
        <v>466</v>
      </c>
      <c r="I27" s="102" t="s">
        <v>447</v>
      </c>
      <c r="J27" s="101">
        <v>20</v>
      </c>
      <c r="K27" s="101">
        <v>200</v>
      </c>
      <c r="L27" s="101">
        <v>660</v>
      </c>
      <c r="M27" s="101">
        <v>660</v>
      </c>
      <c r="N27" s="101" t="s">
        <v>34</v>
      </c>
      <c r="O27" s="101" t="s">
        <v>34</v>
      </c>
      <c r="P27" s="31" t="s">
        <v>36</v>
      </c>
      <c r="Q27" s="20"/>
      <c r="R27" s="21"/>
      <c r="S27" s="27"/>
      <c r="T27" s="28"/>
      <c r="U27" s="28"/>
      <c r="V27" s="29"/>
      <c r="X27" s="2" t="e">
        <f>VLOOKUP(E27,'[1]STOCK  21.03.2018'!$F$6:$H$228,3,0)</f>
        <v>#N/A</v>
      </c>
    </row>
    <row r="28" spans="1:24">
      <c r="A28" s="44"/>
      <c r="B28" s="45"/>
      <c r="C28" s="45"/>
      <c r="D28" s="46"/>
      <c r="E28" s="47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8"/>
    </row>
    <row r="93" spans="1:24" s="6" customFormat="1">
      <c r="A93" s="2"/>
      <c r="B93" s="3"/>
      <c r="C93" s="3"/>
      <c r="D93" s="2" t="s">
        <v>274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9" spans="5:5">
      <c r="E99" s="6">
        <v>50009666</v>
      </c>
    </row>
    <row r="109" spans="5:5">
      <c r="E109" s="6">
        <v>50011835</v>
      </c>
    </row>
  </sheetData>
  <mergeCells count="59">
    <mergeCell ref="Q9:V9"/>
    <mergeCell ref="E1:N4"/>
    <mergeCell ref="O1:P1"/>
    <mergeCell ref="Q1:R1"/>
    <mergeCell ref="S1:T1"/>
    <mergeCell ref="U1:V1"/>
    <mergeCell ref="O3:P3"/>
    <mergeCell ref="Q3:R3"/>
    <mergeCell ref="S3:T3"/>
    <mergeCell ref="U3:V3"/>
    <mergeCell ref="O4:P4"/>
    <mergeCell ref="Q4:R4"/>
    <mergeCell ref="S4:T4"/>
    <mergeCell ref="U4:V4"/>
    <mergeCell ref="L6:M6"/>
    <mergeCell ref="L8:M8"/>
    <mergeCell ref="S10:V10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L17:L18"/>
    <mergeCell ref="M17:M18"/>
    <mergeCell ref="N17:N18"/>
    <mergeCell ref="O17:O18"/>
    <mergeCell ref="P17:P18"/>
    <mergeCell ref="A19:A20"/>
    <mergeCell ref="B19:B20"/>
    <mergeCell ref="C19:C20"/>
    <mergeCell ref="D19:D20"/>
    <mergeCell ref="E19:E20"/>
    <mergeCell ref="N19:N20"/>
    <mergeCell ref="O19:O20"/>
    <mergeCell ref="P19:P20"/>
    <mergeCell ref="A21:A22"/>
    <mergeCell ref="B21:B22"/>
    <mergeCell ref="C21:C22"/>
    <mergeCell ref="D21:D22"/>
    <mergeCell ref="E21:E22"/>
    <mergeCell ref="F21:F22"/>
    <mergeCell ref="I21:I22"/>
    <mergeCell ref="F19:F20"/>
    <mergeCell ref="I19:I20"/>
    <mergeCell ref="J19:J20"/>
    <mergeCell ref="K19:K20"/>
    <mergeCell ref="L19:L20"/>
    <mergeCell ref="M19:M20"/>
    <mergeCell ref="P21:P22"/>
    <mergeCell ref="J21:J22"/>
    <mergeCell ref="K21:K22"/>
    <mergeCell ref="L21:L22"/>
    <mergeCell ref="M21:M22"/>
    <mergeCell ref="N21:N22"/>
    <mergeCell ref="O21:O22"/>
  </mergeCells>
  <conditionalFormatting sqref="B11:C17 B19:C19 B21:C21">
    <cfRule type="cellIs" dxfId="15" priority="9" stopIfTrue="1" operator="between">
      <formula>40000000</formula>
      <formula>49999999</formula>
    </cfRule>
    <cfRule type="cellIs" dxfId="14" priority="10" operator="between">
      <formula>20000000</formula>
      <formula>29999999</formula>
    </cfRule>
    <cfRule type="cellIs" priority="11" stopIfTrue="1" operator="between">
      <formula>40000000</formula>
      <formula>49999999</formula>
    </cfRule>
    <cfRule type="cellIs" priority="12" operator="between">
      <formula>20000000</formula>
      <formula>29999999</formula>
    </cfRule>
  </conditionalFormatting>
  <conditionalFormatting sqref="B23:C27 E28:E65429">
    <cfRule type="cellIs" priority="33" stopIfTrue="1" operator="between">
      <formula>40000000</formula>
      <formula>49999999</formula>
    </cfRule>
    <cfRule type="cellIs" priority="34" operator="between">
      <formula>20000000</formula>
      <formula>29999999</formula>
    </cfRule>
  </conditionalFormatting>
  <conditionalFormatting sqref="B23:C27">
    <cfRule type="cellIs" dxfId="13" priority="31" stopIfTrue="1" operator="between">
      <formula>40000000</formula>
      <formula>49999999</formula>
    </cfRule>
    <cfRule type="cellIs" dxfId="12" priority="32" operator="between">
      <formula>20000000</formula>
      <formula>29999999</formula>
    </cfRule>
  </conditionalFormatting>
  <conditionalFormatting sqref="E5:E7">
    <cfRule type="cellIs" dxfId="11" priority="13" stopIfTrue="1" operator="between">
      <formula>40000000</formula>
      <formula>49999999</formula>
    </cfRule>
    <cfRule type="cellIs" dxfId="10" priority="14" operator="between">
      <formula>20000000</formula>
      <formula>29999999</formula>
    </cfRule>
    <cfRule type="cellIs" priority="15" stopIfTrue="1" operator="between">
      <formula>40000000</formula>
      <formula>49999999</formula>
    </cfRule>
    <cfRule type="cellIs" priority="16" operator="between">
      <formula>20000000</formula>
      <formula>29999999</formula>
    </cfRule>
  </conditionalFormatting>
  <conditionalFormatting sqref="E10:I10">
    <cfRule type="cellIs" priority="25" stopIfTrue="1" operator="between">
      <formula>40000000</formula>
      <formula>49999999</formula>
    </cfRule>
    <cfRule type="cellIs" priority="26" operator="between">
      <formula>20000000</formula>
      <formula>29999999</formula>
    </cfRule>
  </conditionalFormatting>
  <conditionalFormatting sqref="F9:H9">
    <cfRule type="cellIs" dxfId="9" priority="1" stopIfTrue="1" operator="between">
      <formula>40000000</formula>
      <formula>49999999</formula>
    </cfRule>
    <cfRule type="cellIs" dxfId="8" priority="2" operator="between">
      <formula>20000000</formula>
      <formula>29999999</formula>
    </cfRule>
    <cfRule type="cellIs" priority="3" stopIfTrue="1" operator="between">
      <formula>40000000</formula>
      <formula>49999999</formula>
    </cfRule>
    <cfRule type="cellIs" priority="4" operator="between">
      <formula>20000000</formula>
      <formula>29999999</formula>
    </cfRule>
  </conditionalFormatting>
  <hyperlinks>
    <hyperlink ref="J7" r:id="rId1" display="Panom.The@thaisummit.co.th" xr:uid="{F998F861-2EAE-4E95-8029-2AD27C0FF767}"/>
  </hyperlinks>
  <printOptions horizontalCentered="1"/>
  <pageMargins left="3.937007874015748E-2" right="3.937007874015748E-2" top="3.937007874015748E-2" bottom="0.59055118110236227" header="0.31496062992125984" footer="3.937007874015748E-2"/>
  <pageSetup paperSize="9" scale="68" fitToHeight="10" orientation="landscape" r:id="rId2"/>
  <headerFooter>
    <oddFooter xml:space="preserve">&amp;LWIS-071-006&amp;R    F-PLS-001-0     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0"/>
  </sheetPr>
  <dimension ref="A1:T112"/>
  <sheetViews>
    <sheetView showGridLines="0" tabSelected="1" zoomScale="85" zoomScaleNormal="85" zoomScaleSheetLayoutView="40" workbookViewId="0">
      <pane ySplit="10" topLeftCell="A11" activePane="bottomLeft" state="frozen"/>
      <selection activeCell="C13" sqref="C13:M14"/>
      <selection pane="bottomLeft" activeCell="F44" sqref="F44"/>
    </sheetView>
  </sheetViews>
  <sheetFormatPr defaultColWidth="9" defaultRowHeight="10.199999999999999"/>
  <cols>
    <col min="1" max="1" width="5.21875" style="2" customWidth="1"/>
    <col min="2" max="2" width="10" style="3" customWidth="1"/>
    <col min="3" max="3" width="7.109375" style="3" customWidth="1"/>
    <col min="4" max="4" width="26.88671875" style="2" customWidth="1"/>
    <col min="5" max="5" width="11.6640625" style="6" customWidth="1"/>
    <col min="6" max="6" width="36.109375" style="2" customWidth="1"/>
    <col min="7" max="7" width="16" style="2" customWidth="1"/>
    <col min="8" max="13" width="8.44140625" style="2" customWidth="1"/>
    <col min="14" max="14" width="7.88671875" style="2" customWidth="1"/>
    <col min="15" max="16" width="8.44140625" style="2" customWidth="1"/>
    <col min="17" max="20" width="9.5546875" style="2" customWidth="1"/>
    <col min="21" max="21" width="6.5546875" style="2" customWidth="1"/>
    <col min="22" max="16384" width="9" style="2"/>
  </cols>
  <sheetData>
    <row r="1" spans="1:20" s="1" customFormat="1" ht="15" customHeight="1">
      <c r="A1" s="8"/>
      <c r="B1" s="9" t="s">
        <v>15</v>
      </c>
      <c r="C1" s="9"/>
      <c r="D1" s="10"/>
      <c r="E1" s="146" t="s">
        <v>265</v>
      </c>
      <c r="F1" s="147"/>
      <c r="G1" s="147"/>
      <c r="H1" s="147"/>
      <c r="I1" s="147"/>
      <c r="J1" s="147"/>
      <c r="K1" s="147"/>
      <c r="L1" s="147"/>
      <c r="M1" s="152" t="s">
        <v>9</v>
      </c>
      <c r="N1" s="152"/>
      <c r="O1" s="152" t="s">
        <v>10</v>
      </c>
      <c r="P1" s="152"/>
      <c r="Q1" s="152" t="s">
        <v>11</v>
      </c>
      <c r="R1" s="152"/>
      <c r="S1" s="153" t="s">
        <v>22</v>
      </c>
      <c r="T1" s="153"/>
    </row>
    <row r="2" spans="1:20" s="1" customFormat="1" ht="20.25" customHeight="1">
      <c r="A2" s="11"/>
      <c r="B2" s="3" t="s">
        <v>16</v>
      </c>
      <c r="C2" s="3"/>
      <c r="D2" s="12"/>
      <c r="E2" s="148"/>
      <c r="F2" s="149"/>
      <c r="G2" s="149"/>
      <c r="H2" s="149"/>
      <c r="I2" s="149"/>
      <c r="J2" s="149"/>
      <c r="K2" s="149"/>
      <c r="L2" s="149"/>
      <c r="M2" s="41"/>
      <c r="N2" s="42"/>
      <c r="O2" s="13"/>
      <c r="P2" s="18"/>
      <c r="Q2" s="13"/>
      <c r="R2" s="18"/>
      <c r="S2" s="11"/>
      <c r="T2" s="12"/>
    </row>
    <row r="3" spans="1:20" ht="11.25" customHeight="1">
      <c r="A3" s="14"/>
      <c r="B3" s="15"/>
      <c r="C3" s="15"/>
      <c r="D3" s="39"/>
      <c r="E3" s="148"/>
      <c r="F3" s="149"/>
      <c r="G3" s="149"/>
      <c r="H3" s="149"/>
      <c r="I3" s="149"/>
      <c r="J3" s="149"/>
      <c r="K3" s="149"/>
      <c r="L3" s="149"/>
      <c r="M3" s="154" t="s">
        <v>500</v>
      </c>
      <c r="N3" s="155"/>
      <c r="O3" s="156" t="s">
        <v>32</v>
      </c>
      <c r="P3" s="157"/>
      <c r="Q3" s="158" t="s">
        <v>507</v>
      </c>
      <c r="R3" s="159"/>
      <c r="S3" s="156" t="s">
        <v>508</v>
      </c>
      <c r="T3" s="157"/>
    </row>
    <row r="4" spans="1:20" ht="11.25" customHeight="1">
      <c r="A4" s="37"/>
      <c r="B4" s="38"/>
      <c r="C4" s="38"/>
      <c r="D4" s="40"/>
      <c r="E4" s="150"/>
      <c r="F4" s="151"/>
      <c r="G4" s="151"/>
      <c r="H4" s="151"/>
      <c r="I4" s="151"/>
      <c r="J4" s="151"/>
      <c r="K4" s="151"/>
      <c r="L4" s="151"/>
      <c r="M4" s="135" t="s">
        <v>17</v>
      </c>
      <c r="N4" s="136"/>
      <c r="O4" s="135" t="s">
        <v>18</v>
      </c>
      <c r="P4" s="136"/>
      <c r="Q4" s="140" t="s">
        <v>19</v>
      </c>
      <c r="R4" s="141"/>
      <c r="S4" s="140" t="s">
        <v>19</v>
      </c>
      <c r="T4" s="141"/>
    </row>
    <row r="5" spans="1:20" ht="13.5" customHeight="1">
      <c r="A5" s="14" t="s">
        <v>4</v>
      </c>
      <c r="B5" s="15"/>
      <c r="C5" s="15"/>
      <c r="D5" s="16"/>
      <c r="E5" s="49" t="s">
        <v>29</v>
      </c>
      <c r="F5" s="56"/>
      <c r="G5" s="71" t="s">
        <v>23</v>
      </c>
      <c r="H5" s="70" t="s">
        <v>499</v>
      </c>
      <c r="I5" s="57"/>
      <c r="J5" s="69" t="s">
        <v>500</v>
      </c>
      <c r="K5" s="58"/>
      <c r="L5" s="66"/>
      <c r="M5" s="67"/>
      <c r="N5" s="68"/>
      <c r="O5" s="74" t="s">
        <v>27</v>
      </c>
      <c r="P5" s="75"/>
      <c r="Q5" s="75"/>
      <c r="R5" s="75"/>
      <c r="S5" s="75"/>
      <c r="T5" s="76"/>
    </row>
    <row r="6" spans="1:20" ht="13.5" customHeight="1">
      <c r="A6" s="59"/>
      <c r="B6" s="60"/>
      <c r="C6" s="60"/>
      <c r="D6" s="60"/>
      <c r="E6" s="49"/>
      <c r="F6" s="61"/>
      <c r="G6" s="56"/>
      <c r="H6" s="62"/>
      <c r="I6" s="57"/>
      <c r="J6" s="142"/>
      <c r="K6" s="142"/>
      <c r="L6" s="56"/>
      <c r="M6" s="60"/>
      <c r="N6" s="60"/>
      <c r="O6" s="50" t="s">
        <v>24</v>
      </c>
      <c r="P6" s="51"/>
      <c r="Q6" s="51"/>
      <c r="R6" s="51"/>
      <c r="S6" s="51"/>
      <c r="T6" s="52"/>
    </row>
    <row r="7" spans="1:20" ht="13.5" customHeight="1">
      <c r="A7" s="14" t="s">
        <v>12</v>
      </c>
      <c r="B7" s="15"/>
      <c r="C7" s="15"/>
      <c r="D7" s="16"/>
      <c r="E7" s="49" t="s">
        <v>30</v>
      </c>
      <c r="F7" s="17"/>
      <c r="G7" s="56" t="s">
        <v>26</v>
      </c>
      <c r="H7" s="56" t="s">
        <v>501</v>
      </c>
      <c r="I7" s="72"/>
      <c r="J7" s="73"/>
      <c r="K7" s="56"/>
      <c r="L7" s="56"/>
      <c r="M7" s="60"/>
      <c r="N7" s="60"/>
      <c r="O7" s="50" t="s">
        <v>25</v>
      </c>
      <c r="P7" s="51"/>
      <c r="Q7" s="51"/>
      <c r="R7" s="51"/>
      <c r="S7" s="51"/>
      <c r="T7" s="52"/>
    </row>
    <row r="8" spans="1:20" ht="13.5" customHeight="1">
      <c r="A8" s="59"/>
      <c r="B8" s="60"/>
      <c r="C8" s="60"/>
      <c r="D8" s="60"/>
      <c r="E8" s="60"/>
      <c r="F8" s="60"/>
      <c r="G8" s="63"/>
      <c r="H8" s="62"/>
      <c r="I8" s="57"/>
      <c r="J8" s="142"/>
      <c r="K8" s="142"/>
      <c r="L8" s="63"/>
      <c r="M8" s="60"/>
      <c r="N8" s="60"/>
      <c r="O8" s="53"/>
      <c r="P8" s="54"/>
      <c r="Q8" s="54"/>
      <c r="R8" s="54"/>
      <c r="S8" s="54"/>
      <c r="T8" s="55"/>
    </row>
    <row r="9" spans="1:20" ht="13.5" customHeight="1">
      <c r="A9" s="128" t="s">
        <v>520</v>
      </c>
      <c r="B9" s="133"/>
      <c r="C9" s="133"/>
      <c r="D9" s="129"/>
      <c r="E9" s="130" t="s">
        <v>14</v>
      </c>
      <c r="F9" s="131" t="s">
        <v>522</v>
      </c>
      <c r="G9" s="132"/>
      <c r="H9" s="127"/>
      <c r="I9" s="132"/>
      <c r="J9" s="112"/>
      <c r="K9" s="112"/>
      <c r="L9" s="112"/>
      <c r="M9" s="112"/>
      <c r="N9" s="65"/>
      <c r="O9" s="143" t="s">
        <v>13</v>
      </c>
      <c r="P9" s="144"/>
      <c r="Q9" s="144"/>
      <c r="R9" s="144"/>
      <c r="S9" s="144"/>
      <c r="T9" s="145"/>
    </row>
    <row r="10" spans="1:20" s="5" customFormat="1" ht="20.25" customHeight="1">
      <c r="A10" s="113" t="s">
        <v>0</v>
      </c>
      <c r="B10" s="114" t="s">
        <v>21</v>
      </c>
      <c r="C10" s="114"/>
      <c r="D10" s="115" t="s">
        <v>1</v>
      </c>
      <c r="E10" s="123" t="s">
        <v>2</v>
      </c>
      <c r="F10" s="113" t="s">
        <v>3</v>
      </c>
      <c r="G10" s="113" t="s">
        <v>489</v>
      </c>
      <c r="H10" s="7" t="s">
        <v>515</v>
      </c>
      <c r="I10" s="7" t="s">
        <v>516</v>
      </c>
      <c r="J10" s="7" t="s">
        <v>517</v>
      </c>
      <c r="K10" s="7" t="s">
        <v>518</v>
      </c>
      <c r="L10" s="7" t="s">
        <v>519</v>
      </c>
      <c r="M10" s="7" t="s">
        <v>521</v>
      </c>
      <c r="N10" s="43" t="s">
        <v>20</v>
      </c>
      <c r="O10" s="30" t="s">
        <v>7</v>
      </c>
      <c r="P10" s="30" t="s">
        <v>8</v>
      </c>
      <c r="Q10" s="137" t="s">
        <v>6</v>
      </c>
      <c r="R10" s="138"/>
      <c r="S10" s="138"/>
      <c r="T10" s="139"/>
    </row>
    <row r="11" spans="1:20" ht="20.25" customHeight="1">
      <c r="A11" s="25">
        <v>1</v>
      </c>
      <c r="B11" s="124" t="s">
        <v>33</v>
      </c>
      <c r="C11" s="120">
        <v>105158</v>
      </c>
      <c r="D11" s="121" t="s">
        <v>436</v>
      </c>
      <c r="E11" s="124">
        <v>50025527</v>
      </c>
      <c r="F11" s="118" t="s">
        <v>475</v>
      </c>
      <c r="G11" s="118" t="s">
        <v>494</v>
      </c>
      <c r="H11" s="125">
        <v>2400</v>
      </c>
      <c r="I11" s="125">
        <v>2400</v>
      </c>
      <c r="J11" s="125">
        <v>1200</v>
      </c>
      <c r="K11" s="125" t="s">
        <v>34</v>
      </c>
      <c r="L11" s="125" t="s">
        <v>34</v>
      </c>
      <c r="M11" s="125" t="s">
        <v>34</v>
      </c>
      <c r="N11" s="106" t="s">
        <v>36</v>
      </c>
      <c r="O11" s="116"/>
      <c r="P11" s="117"/>
      <c r="Q11" s="27"/>
      <c r="R11" s="28"/>
      <c r="S11" s="28"/>
      <c r="T11" s="29"/>
    </row>
    <row r="12" spans="1:20" ht="20.25" customHeight="1">
      <c r="A12" s="25">
        <v>2</v>
      </c>
      <c r="B12" s="124" t="s">
        <v>33</v>
      </c>
      <c r="C12" s="120">
        <v>105158</v>
      </c>
      <c r="D12" s="121" t="s">
        <v>436</v>
      </c>
      <c r="E12" s="124">
        <v>50025528</v>
      </c>
      <c r="F12" s="118" t="s">
        <v>476</v>
      </c>
      <c r="G12" s="118" t="s">
        <v>494</v>
      </c>
      <c r="H12" s="125">
        <v>2400</v>
      </c>
      <c r="I12" s="125">
        <v>2400</v>
      </c>
      <c r="J12" s="125">
        <v>1200</v>
      </c>
      <c r="K12" s="125" t="s">
        <v>34</v>
      </c>
      <c r="L12" s="125" t="s">
        <v>34</v>
      </c>
      <c r="M12" s="125" t="s">
        <v>34</v>
      </c>
      <c r="N12" s="106" t="s">
        <v>36</v>
      </c>
      <c r="O12" s="116"/>
      <c r="P12" s="117"/>
      <c r="Q12" s="27"/>
      <c r="R12" s="28"/>
      <c r="S12" s="28"/>
      <c r="T12" s="29"/>
    </row>
    <row r="13" spans="1:20" ht="20.25" customHeight="1">
      <c r="A13" s="25">
        <v>3</v>
      </c>
      <c r="B13" s="124" t="s">
        <v>33</v>
      </c>
      <c r="C13" s="120">
        <v>105158</v>
      </c>
      <c r="D13" s="121" t="s">
        <v>436</v>
      </c>
      <c r="E13" s="124">
        <v>50025529</v>
      </c>
      <c r="F13" s="118" t="s">
        <v>477</v>
      </c>
      <c r="G13" s="118" t="s">
        <v>494</v>
      </c>
      <c r="H13" s="125">
        <v>2400</v>
      </c>
      <c r="I13" s="125">
        <v>2400</v>
      </c>
      <c r="J13" s="125">
        <v>1200</v>
      </c>
      <c r="K13" s="125" t="s">
        <v>34</v>
      </c>
      <c r="L13" s="125" t="s">
        <v>34</v>
      </c>
      <c r="M13" s="125" t="s">
        <v>34</v>
      </c>
      <c r="N13" s="106" t="s">
        <v>36</v>
      </c>
      <c r="O13" s="116"/>
      <c r="P13" s="117"/>
      <c r="Q13" s="27"/>
      <c r="R13" s="28"/>
      <c r="S13" s="28"/>
      <c r="T13" s="29"/>
    </row>
    <row r="14" spans="1:20" ht="20.25" customHeight="1">
      <c r="A14" s="25">
        <v>4</v>
      </c>
      <c r="B14" s="124" t="s">
        <v>33</v>
      </c>
      <c r="C14" s="120">
        <v>105158</v>
      </c>
      <c r="D14" s="121" t="s">
        <v>436</v>
      </c>
      <c r="E14" s="124">
        <v>50025530</v>
      </c>
      <c r="F14" s="118" t="s">
        <v>478</v>
      </c>
      <c r="G14" s="118" t="s">
        <v>494</v>
      </c>
      <c r="H14" s="125">
        <v>2400</v>
      </c>
      <c r="I14" s="125">
        <v>2400</v>
      </c>
      <c r="J14" s="125">
        <v>1200</v>
      </c>
      <c r="K14" s="125" t="s">
        <v>34</v>
      </c>
      <c r="L14" s="125" t="s">
        <v>34</v>
      </c>
      <c r="M14" s="125" t="s">
        <v>34</v>
      </c>
      <c r="N14" s="106" t="s">
        <v>36</v>
      </c>
      <c r="O14" s="116"/>
      <c r="P14" s="117"/>
      <c r="Q14" s="27"/>
      <c r="R14" s="28"/>
      <c r="S14" s="28"/>
      <c r="T14" s="29"/>
    </row>
    <row r="15" spans="1:20" ht="20.25" customHeight="1">
      <c r="A15" s="25">
        <v>5</v>
      </c>
      <c r="B15" s="124" t="s">
        <v>33</v>
      </c>
      <c r="C15" s="120">
        <v>105158</v>
      </c>
      <c r="D15" s="121" t="s">
        <v>436</v>
      </c>
      <c r="E15" s="124">
        <v>50025836</v>
      </c>
      <c r="F15" s="118" t="s">
        <v>479</v>
      </c>
      <c r="G15" s="118" t="s">
        <v>495</v>
      </c>
      <c r="H15" s="125">
        <v>3300</v>
      </c>
      <c r="I15" s="125">
        <v>3300</v>
      </c>
      <c r="J15" s="125">
        <v>3300</v>
      </c>
      <c r="K15" s="125">
        <v>3300</v>
      </c>
      <c r="L15" s="101" t="s">
        <v>34</v>
      </c>
      <c r="M15" s="101" t="s">
        <v>34</v>
      </c>
      <c r="N15" s="106" t="s">
        <v>36</v>
      </c>
      <c r="O15" s="116"/>
      <c r="P15" s="117"/>
      <c r="Q15" s="27"/>
      <c r="R15" s="28"/>
      <c r="S15" s="28"/>
      <c r="T15" s="29"/>
    </row>
    <row r="16" spans="1:20" ht="20.25" customHeight="1">
      <c r="A16" s="25">
        <v>6</v>
      </c>
      <c r="B16" s="124" t="s">
        <v>33</v>
      </c>
      <c r="C16" s="120">
        <v>105158</v>
      </c>
      <c r="D16" s="121" t="s">
        <v>436</v>
      </c>
      <c r="E16" s="124">
        <v>50026363</v>
      </c>
      <c r="F16" s="118" t="s">
        <v>480</v>
      </c>
      <c r="G16" s="118" t="s">
        <v>495</v>
      </c>
      <c r="H16" s="125">
        <v>3300</v>
      </c>
      <c r="I16" s="125">
        <v>3300</v>
      </c>
      <c r="J16" s="125">
        <v>3300</v>
      </c>
      <c r="K16" s="125">
        <v>3300</v>
      </c>
      <c r="L16" s="101" t="s">
        <v>34</v>
      </c>
      <c r="M16" s="101" t="s">
        <v>34</v>
      </c>
      <c r="N16" s="106" t="s">
        <v>36</v>
      </c>
      <c r="O16" s="116"/>
      <c r="P16" s="117"/>
      <c r="Q16" s="27"/>
      <c r="R16" s="28"/>
      <c r="S16" s="28"/>
      <c r="T16" s="29"/>
    </row>
    <row r="17" spans="1:20" ht="20.25" customHeight="1">
      <c r="A17" s="25">
        <v>7</v>
      </c>
      <c r="B17" s="124" t="s">
        <v>33</v>
      </c>
      <c r="C17" s="120">
        <v>105158</v>
      </c>
      <c r="D17" s="121" t="s">
        <v>436</v>
      </c>
      <c r="E17" s="124">
        <v>50004529</v>
      </c>
      <c r="F17" s="118" t="s">
        <v>112</v>
      </c>
      <c r="G17" s="118" t="s">
        <v>490</v>
      </c>
      <c r="H17" s="101" t="s">
        <v>34</v>
      </c>
      <c r="I17" s="101" t="s">
        <v>34</v>
      </c>
      <c r="J17" s="101" t="s">
        <v>34</v>
      </c>
      <c r="K17" s="101" t="s">
        <v>34</v>
      </c>
      <c r="L17" s="101" t="s">
        <v>34</v>
      </c>
      <c r="M17" s="101" t="s">
        <v>34</v>
      </c>
      <c r="N17" s="106" t="s">
        <v>36</v>
      </c>
      <c r="O17" s="116"/>
      <c r="P17" s="117"/>
      <c r="Q17" s="27"/>
      <c r="R17" s="28"/>
      <c r="S17" s="28"/>
      <c r="T17" s="29"/>
    </row>
    <row r="18" spans="1:20" ht="20.25" customHeight="1">
      <c r="A18" s="25">
        <v>8</v>
      </c>
      <c r="B18" s="124" t="s">
        <v>33</v>
      </c>
      <c r="C18" s="120">
        <v>105158</v>
      </c>
      <c r="D18" s="121" t="s">
        <v>436</v>
      </c>
      <c r="E18" s="124">
        <v>50000195</v>
      </c>
      <c r="F18" s="122" t="s">
        <v>152</v>
      </c>
      <c r="G18" s="118" t="s">
        <v>482</v>
      </c>
      <c r="H18" s="125" t="s">
        <v>34</v>
      </c>
      <c r="I18" s="125" t="s">
        <v>34</v>
      </c>
      <c r="J18" s="125" t="s">
        <v>34</v>
      </c>
      <c r="K18" s="125" t="s">
        <v>34</v>
      </c>
      <c r="L18" s="125" t="s">
        <v>34</v>
      </c>
      <c r="M18" s="125" t="s">
        <v>34</v>
      </c>
      <c r="N18" s="106" t="s">
        <v>35</v>
      </c>
      <c r="O18" s="116"/>
      <c r="P18" s="117"/>
      <c r="Q18" s="27"/>
      <c r="R18" s="28"/>
      <c r="S18" s="28"/>
      <c r="T18" s="29"/>
    </row>
    <row r="19" spans="1:20" ht="20.25" customHeight="1">
      <c r="A19" s="25">
        <v>9</v>
      </c>
      <c r="B19" s="124" t="s">
        <v>33</v>
      </c>
      <c r="C19" s="120">
        <v>105158</v>
      </c>
      <c r="D19" s="121" t="s">
        <v>436</v>
      </c>
      <c r="E19" s="124">
        <v>50001285</v>
      </c>
      <c r="F19" s="122" t="s">
        <v>156</v>
      </c>
      <c r="G19" t="s">
        <v>502</v>
      </c>
      <c r="H19" s="125" t="s">
        <v>34</v>
      </c>
      <c r="I19" s="125">
        <v>500</v>
      </c>
      <c r="J19" s="125" t="s">
        <v>34</v>
      </c>
      <c r="K19" s="125" t="s">
        <v>34</v>
      </c>
      <c r="L19" s="125" t="s">
        <v>34</v>
      </c>
      <c r="M19" s="125" t="s">
        <v>34</v>
      </c>
      <c r="N19" s="106" t="s">
        <v>36</v>
      </c>
      <c r="O19" s="116"/>
      <c r="P19" s="117"/>
      <c r="Q19" s="27"/>
      <c r="R19" s="28"/>
      <c r="S19" s="28"/>
      <c r="T19" s="29"/>
    </row>
    <row r="20" spans="1:20" ht="20.25" customHeight="1">
      <c r="A20" s="25">
        <v>10</v>
      </c>
      <c r="B20" s="124" t="s">
        <v>33</v>
      </c>
      <c r="C20" s="120">
        <v>105158</v>
      </c>
      <c r="D20" s="121" t="s">
        <v>436</v>
      </c>
      <c r="E20" s="124">
        <v>50001295</v>
      </c>
      <c r="F20" s="118" t="s">
        <v>159</v>
      </c>
      <c r="G20" s="118" t="s">
        <v>481</v>
      </c>
      <c r="H20" s="125">
        <v>1000</v>
      </c>
      <c r="I20" s="125">
        <v>2000</v>
      </c>
      <c r="J20" s="125">
        <v>2000</v>
      </c>
      <c r="K20" s="125">
        <v>2000</v>
      </c>
      <c r="L20" s="125">
        <v>1500</v>
      </c>
      <c r="M20" s="125">
        <v>2000</v>
      </c>
      <c r="N20" s="106" t="s">
        <v>36</v>
      </c>
      <c r="O20" s="116"/>
      <c r="P20" s="117"/>
      <c r="Q20" s="27"/>
      <c r="R20" s="28"/>
      <c r="S20" s="28"/>
      <c r="T20" s="29"/>
    </row>
    <row r="21" spans="1:20" ht="20.25" customHeight="1">
      <c r="A21" s="25">
        <v>11</v>
      </c>
      <c r="B21" s="124" t="s">
        <v>33</v>
      </c>
      <c r="C21" s="120">
        <v>105158</v>
      </c>
      <c r="D21" s="121" t="s">
        <v>436</v>
      </c>
      <c r="E21" s="124">
        <v>50020834</v>
      </c>
      <c r="F21" s="118" t="s">
        <v>301</v>
      </c>
      <c r="G21" s="118" t="s">
        <v>491</v>
      </c>
      <c r="H21" s="125">
        <v>1200</v>
      </c>
      <c r="I21" s="125" t="s">
        <v>34</v>
      </c>
      <c r="J21" s="125">
        <v>1200</v>
      </c>
      <c r="K21" s="125" t="s">
        <v>34</v>
      </c>
      <c r="L21" s="125">
        <v>1200</v>
      </c>
      <c r="M21" s="125" t="s">
        <v>34</v>
      </c>
      <c r="N21" s="106" t="s">
        <v>36</v>
      </c>
      <c r="O21" s="116"/>
      <c r="P21" s="117"/>
      <c r="Q21" s="27"/>
      <c r="R21" s="28"/>
      <c r="S21" s="28"/>
      <c r="T21" s="29"/>
    </row>
    <row r="22" spans="1:20" ht="20.25" customHeight="1">
      <c r="A22" s="25">
        <v>12</v>
      </c>
      <c r="B22" s="124" t="s">
        <v>33</v>
      </c>
      <c r="C22" s="120">
        <v>105158</v>
      </c>
      <c r="D22" s="121" t="s">
        <v>436</v>
      </c>
      <c r="E22" s="124">
        <v>50023489</v>
      </c>
      <c r="F22" s="118" t="s">
        <v>513</v>
      </c>
      <c r="G22" s="118" t="s">
        <v>514</v>
      </c>
      <c r="H22" s="125">
        <v>2200</v>
      </c>
      <c r="I22" s="125">
        <v>2000</v>
      </c>
      <c r="J22" s="125">
        <v>1500</v>
      </c>
      <c r="K22" s="125">
        <v>1500</v>
      </c>
      <c r="L22" s="125">
        <v>1700</v>
      </c>
      <c r="M22" s="125">
        <v>1000</v>
      </c>
      <c r="N22" s="106" t="s">
        <v>36</v>
      </c>
      <c r="O22" s="116"/>
      <c r="P22" s="117"/>
      <c r="Q22" s="27"/>
      <c r="R22" s="28"/>
      <c r="S22" s="28"/>
      <c r="T22" s="29"/>
    </row>
    <row r="23" spans="1:20" ht="20.25" customHeight="1">
      <c r="A23" s="25">
        <v>13</v>
      </c>
      <c r="B23" s="124" t="s">
        <v>33</v>
      </c>
      <c r="C23" s="120">
        <v>105158</v>
      </c>
      <c r="D23" s="121" t="s">
        <v>436</v>
      </c>
      <c r="E23" s="124">
        <v>50025525</v>
      </c>
      <c r="F23" s="118" t="s">
        <v>474</v>
      </c>
      <c r="G23" s="118" t="s">
        <v>483</v>
      </c>
      <c r="H23" s="125">
        <v>51000</v>
      </c>
      <c r="I23" s="125">
        <v>40000</v>
      </c>
      <c r="J23" s="125">
        <v>46500</v>
      </c>
      <c r="K23" s="125">
        <v>41000</v>
      </c>
      <c r="L23" s="125">
        <v>48000</v>
      </c>
      <c r="M23" s="125">
        <v>44000</v>
      </c>
      <c r="N23" s="106" t="s">
        <v>36</v>
      </c>
      <c r="O23" s="116"/>
      <c r="P23" s="117"/>
      <c r="Q23" s="27"/>
      <c r="R23" s="28"/>
      <c r="S23" s="28"/>
      <c r="T23" s="29"/>
    </row>
    <row r="24" spans="1:20" ht="20.25" customHeight="1">
      <c r="A24" s="25">
        <v>14</v>
      </c>
      <c r="B24" s="124" t="s">
        <v>33</v>
      </c>
      <c r="C24" s="120">
        <v>105158</v>
      </c>
      <c r="D24" s="121" t="s">
        <v>436</v>
      </c>
      <c r="E24" s="124">
        <v>50001294</v>
      </c>
      <c r="F24" s="118" t="s">
        <v>498</v>
      </c>
      <c r="G24" s="118" t="s">
        <v>493</v>
      </c>
      <c r="H24" s="125">
        <v>1800</v>
      </c>
      <c r="I24" s="125">
        <v>1200</v>
      </c>
      <c r="J24" s="125">
        <v>1200</v>
      </c>
      <c r="K24" s="125">
        <v>1200</v>
      </c>
      <c r="L24" s="125">
        <v>1200</v>
      </c>
      <c r="M24" s="125">
        <v>1200</v>
      </c>
      <c r="N24" s="106" t="s">
        <v>36</v>
      </c>
      <c r="O24" s="116"/>
      <c r="P24" s="117"/>
      <c r="Q24" s="27"/>
      <c r="R24" s="28"/>
      <c r="S24" s="28"/>
      <c r="T24" s="29"/>
    </row>
    <row r="25" spans="1:20" ht="20.25" customHeight="1">
      <c r="A25" s="25">
        <v>15</v>
      </c>
      <c r="B25" s="124" t="s">
        <v>33</v>
      </c>
      <c r="C25" s="120">
        <v>105158</v>
      </c>
      <c r="D25" s="121" t="s">
        <v>436</v>
      </c>
      <c r="E25" s="124">
        <v>50021630</v>
      </c>
      <c r="F25" s="118" t="s">
        <v>312</v>
      </c>
      <c r="G25" s="118" t="s">
        <v>484</v>
      </c>
      <c r="H25" s="125">
        <v>500</v>
      </c>
      <c r="I25" s="125">
        <v>300</v>
      </c>
      <c r="J25" s="125">
        <v>200</v>
      </c>
      <c r="K25" s="125">
        <v>200</v>
      </c>
      <c r="L25" s="125">
        <v>200</v>
      </c>
      <c r="M25" s="125" t="s">
        <v>34</v>
      </c>
      <c r="N25" s="106" t="s">
        <v>36</v>
      </c>
      <c r="O25" s="116"/>
      <c r="P25" s="117"/>
      <c r="Q25" s="27"/>
      <c r="R25" s="28"/>
      <c r="S25" s="28"/>
      <c r="T25" s="29"/>
    </row>
    <row r="26" spans="1:20" ht="20.25" customHeight="1">
      <c r="A26" s="25">
        <v>16</v>
      </c>
      <c r="B26" s="124" t="s">
        <v>33</v>
      </c>
      <c r="C26" s="120">
        <v>105158</v>
      </c>
      <c r="D26" s="121" t="s">
        <v>436</v>
      </c>
      <c r="E26" s="124">
        <v>50021937</v>
      </c>
      <c r="F26" s="118" t="s">
        <v>320</v>
      </c>
      <c r="G26" s="118" t="s">
        <v>484</v>
      </c>
      <c r="H26" s="125">
        <v>80</v>
      </c>
      <c r="I26" s="125">
        <v>50</v>
      </c>
      <c r="J26" s="125">
        <v>50</v>
      </c>
      <c r="K26" s="125">
        <v>50</v>
      </c>
      <c r="L26" s="125" t="s">
        <v>34</v>
      </c>
      <c r="M26" s="125" t="s">
        <v>34</v>
      </c>
      <c r="N26" s="106" t="s">
        <v>36</v>
      </c>
      <c r="O26" s="116"/>
      <c r="P26" s="117"/>
      <c r="Q26" s="27"/>
      <c r="R26" s="28"/>
      <c r="S26" s="28"/>
      <c r="T26" s="29"/>
    </row>
    <row r="27" spans="1:20" ht="20.25" customHeight="1">
      <c r="A27" s="25">
        <v>17</v>
      </c>
      <c r="B27" s="124" t="s">
        <v>33</v>
      </c>
      <c r="C27" s="120">
        <v>105158</v>
      </c>
      <c r="D27" s="121" t="s">
        <v>436</v>
      </c>
      <c r="E27" s="124">
        <v>50001756</v>
      </c>
      <c r="F27" s="118" t="s">
        <v>368</v>
      </c>
      <c r="G27" s="118" t="s">
        <v>492</v>
      </c>
      <c r="H27" s="125" t="s">
        <v>34</v>
      </c>
      <c r="I27" s="125" t="s">
        <v>34</v>
      </c>
      <c r="J27" s="125" t="s">
        <v>34</v>
      </c>
      <c r="K27" s="125" t="s">
        <v>34</v>
      </c>
      <c r="L27" s="125" t="s">
        <v>34</v>
      </c>
      <c r="M27" s="125" t="s">
        <v>34</v>
      </c>
      <c r="N27" s="106" t="s">
        <v>36</v>
      </c>
      <c r="O27" s="116"/>
      <c r="P27" s="117"/>
      <c r="Q27" s="27"/>
      <c r="R27" s="28"/>
      <c r="S27" s="28"/>
      <c r="T27" s="29"/>
    </row>
    <row r="28" spans="1:20" ht="20.25" customHeight="1">
      <c r="A28" s="25">
        <v>18</v>
      </c>
      <c r="B28" s="124" t="s">
        <v>33</v>
      </c>
      <c r="C28" s="120">
        <v>105158</v>
      </c>
      <c r="D28" s="121" t="s">
        <v>436</v>
      </c>
      <c r="E28" s="124">
        <v>50001758</v>
      </c>
      <c r="F28" s="118" t="s">
        <v>369</v>
      </c>
      <c r="G28" s="118" t="s">
        <v>492</v>
      </c>
      <c r="H28" s="125" t="s">
        <v>34</v>
      </c>
      <c r="I28" s="125" t="s">
        <v>34</v>
      </c>
      <c r="J28" s="125" t="s">
        <v>34</v>
      </c>
      <c r="K28" s="125" t="s">
        <v>34</v>
      </c>
      <c r="L28" s="125" t="s">
        <v>34</v>
      </c>
      <c r="M28" s="125" t="s">
        <v>34</v>
      </c>
      <c r="N28" s="106" t="s">
        <v>36</v>
      </c>
      <c r="O28" s="116"/>
      <c r="P28" s="117"/>
      <c r="Q28" s="27"/>
      <c r="R28" s="28"/>
      <c r="S28" s="28"/>
      <c r="T28" s="29"/>
    </row>
    <row r="29" spans="1:20" ht="20.25" customHeight="1">
      <c r="A29" s="25">
        <v>19</v>
      </c>
      <c r="B29" s="124" t="s">
        <v>33</v>
      </c>
      <c r="C29" s="120">
        <v>105158</v>
      </c>
      <c r="D29" s="121" t="s">
        <v>436</v>
      </c>
      <c r="E29" s="124">
        <v>50001760</v>
      </c>
      <c r="F29" s="118" t="s">
        <v>370</v>
      </c>
      <c r="G29" s="118" t="s">
        <v>485</v>
      </c>
      <c r="H29" s="125" t="s">
        <v>34</v>
      </c>
      <c r="I29" s="125" t="s">
        <v>34</v>
      </c>
      <c r="J29" s="125">
        <v>100</v>
      </c>
      <c r="K29" s="125" t="s">
        <v>34</v>
      </c>
      <c r="L29" s="125" t="s">
        <v>34</v>
      </c>
      <c r="M29" s="125" t="s">
        <v>34</v>
      </c>
      <c r="N29" s="106" t="s">
        <v>36</v>
      </c>
      <c r="O29" s="116"/>
      <c r="P29" s="117"/>
      <c r="Q29" s="27"/>
      <c r="R29" s="28"/>
      <c r="S29" s="28"/>
      <c r="T29" s="29"/>
    </row>
    <row r="30" spans="1:20" ht="20.25" customHeight="1">
      <c r="A30" s="25">
        <v>20</v>
      </c>
      <c r="B30" s="124" t="s">
        <v>33</v>
      </c>
      <c r="C30" s="120">
        <v>105158</v>
      </c>
      <c r="D30" s="121" t="s">
        <v>436</v>
      </c>
      <c r="E30" s="124">
        <v>50001762</v>
      </c>
      <c r="F30" s="118" t="s">
        <v>371</v>
      </c>
      <c r="G30" s="118" t="s">
        <v>486</v>
      </c>
      <c r="H30" s="125" t="s">
        <v>34</v>
      </c>
      <c r="I30" s="125" t="s">
        <v>34</v>
      </c>
      <c r="J30" s="125">
        <v>200</v>
      </c>
      <c r="K30" s="125">
        <v>200</v>
      </c>
      <c r="L30" s="125" t="s">
        <v>34</v>
      </c>
      <c r="M30" s="125" t="s">
        <v>34</v>
      </c>
      <c r="N30" s="106" t="s">
        <v>36</v>
      </c>
      <c r="O30" s="116"/>
      <c r="P30" s="117"/>
      <c r="Q30" s="27"/>
      <c r="R30" s="28"/>
      <c r="S30" s="28"/>
      <c r="T30" s="29"/>
    </row>
    <row r="31" spans="1:20" ht="20.25" customHeight="1">
      <c r="A31" s="25">
        <v>21</v>
      </c>
      <c r="B31" s="124" t="s">
        <v>33</v>
      </c>
      <c r="C31" s="120">
        <v>105158</v>
      </c>
      <c r="D31" s="121" t="s">
        <v>436</v>
      </c>
      <c r="E31" s="124">
        <v>50001765</v>
      </c>
      <c r="F31" s="118" t="s">
        <v>372</v>
      </c>
      <c r="G31" s="118" t="s">
        <v>485</v>
      </c>
      <c r="H31" s="125" t="s">
        <v>34</v>
      </c>
      <c r="I31" s="125">
        <v>100</v>
      </c>
      <c r="J31" s="125">
        <v>100</v>
      </c>
      <c r="K31" s="125">
        <v>100</v>
      </c>
      <c r="L31" s="125" t="s">
        <v>34</v>
      </c>
      <c r="M31" s="125" t="s">
        <v>34</v>
      </c>
      <c r="N31" s="106" t="s">
        <v>36</v>
      </c>
      <c r="O31" s="116"/>
      <c r="P31" s="117"/>
      <c r="Q31" s="27"/>
      <c r="R31" s="28"/>
      <c r="S31" s="28"/>
      <c r="T31" s="29"/>
    </row>
    <row r="32" spans="1:20" ht="20.25" customHeight="1">
      <c r="A32" s="25">
        <v>22</v>
      </c>
      <c r="B32" s="124" t="s">
        <v>33</v>
      </c>
      <c r="C32" s="120">
        <v>105158</v>
      </c>
      <c r="D32" s="121" t="s">
        <v>436</v>
      </c>
      <c r="E32" s="124">
        <v>50001840</v>
      </c>
      <c r="F32" s="118" t="s">
        <v>374</v>
      </c>
      <c r="G32" s="118" t="s">
        <v>486</v>
      </c>
      <c r="H32" s="125" t="s">
        <v>34</v>
      </c>
      <c r="I32" s="125">
        <v>200</v>
      </c>
      <c r="J32" s="125">
        <v>200</v>
      </c>
      <c r="K32" s="125">
        <v>200</v>
      </c>
      <c r="L32" s="125" t="s">
        <v>34</v>
      </c>
      <c r="M32" s="125" t="s">
        <v>34</v>
      </c>
      <c r="N32" s="106" t="s">
        <v>36</v>
      </c>
      <c r="O32" s="116"/>
      <c r="P32" s="117"/>
      <c r="Q32" s="27"/>
      <c r="R32" s="28"/>
      <c r="S32" s="28"/>
      <c r="T32" s="29"/>
    </row>
    <row r="33" spans="1:20" ht="20.25" customHeight="1">
      <c r="A33" s="25">
        <v>23</v>
      </c>
      <c r="B33" s="124" t="s">
        <v>33</v>
      </c>
      <c r="C33" s="120">
        <v>105158</v>
      </c>
      <c r="D33" s="121" t="s">
        <v>436</v>
      </c>
      <c r="E33" s="124">
        <v>50001841</v>
      </c>
      <c r="F33" s="118" t="s">
        <v>375</v>
      </c>
      <c r="G33" s="118" t="s">
        <v>487</v>
      </c>
      <c r="H33" s="125" t="s">
        <v>34</v>
      </c>
      <c r="I33" s="125" t="s">
        <v>34</v>
      </c>
      <c r="J33" s="125" t="s">
        <v>34</v>
      </c>
      <c r="K33" s="125" t="s">
        <v>34</v>
      </c>
      <c r="L33" s="125" t="s">
        <v>34</v>
      </c>
      <c r="M33" s="125" t="s">
        <v>34</v>
      </c>
      <c r="N33" s="106" t="s">
        <v>36</v>
      </c>
      <c r="O33" s="116"/>
      <c r="P33" s="117"/>
      <c r="Q33" s="27"/>
      <c r="R33" s="28"/>
      <c r="S33" s="28"/>
      <c r="T33" s="29"/>
    </row>
    <row r="34" spans="1:20" ht="20.25" customHeight="1">
      <c r="A34" s="25">
        <v>24</v>
      </c>
      <c r="B34" s="124" t="s">
        <v>33</v>
      </c>
      <c r="C34" s="120">
        <v>105158</v>
      </c>
      <c r="D34" s="121" t="s">
        <v>436</v>
      </c>
      <c r="E34" s="124">
        <v>50001858</v>
      </c>
      <c r="F34" s="118" t="s">
        <v>378</v>
      </c>
      <c r="G34" s="118" t="s">
        <v>488</v>
      </c>
      <c r="H34" s="125" t="s">
        <v>34</v>
      </c>
      <c r="I34" s="125" t="s">
        <v>34</v>
      </c>
      <c r="J34" s="125" t="s">
        <v>34</v>
      </c>
      <c r="K34" s="125" t="s">
        <v>34</v>
      </c>
      <c r="L34" s="125" t="s">
        <v>34</v>
      </c>
      <c r="M34" s="125" t="s">
        <v>34</v>
      </c>
      <c r="N34" s="106" t="s">
        <v>36</v>
      </c>
      <c r="O34" s="116"/>
      <c r="P34" s="117"/>
      <c r="Q34" s="27"/>
      <c r="R34" s="28"/>
      <c r="S34" s="28"/>
      <c r="T34" s="29"/>
    </row>
    <row r="35" spans="1:20" ht="20.25" customHeight="1">
      <c r="A35" s="25">
        <v>25</v>
      </c>
      <c r="B35" s="124" t="s">
        <v>33</v>
      </c>
      <c r="C35" s="120">
        <v>105158</v>
      </c>
      <c r="D35" s="121" t="s">
        <v>436</v>
      </c>
      <c r="E35" s="124">
        <v>50001871</v>
      </c>
      <c r="F35" s="118" t="s">
        <v>379</v>
      </c>
      <c r="G35" s="118" t="s">
        <v>488</v>
      </c>
      <c r="H35" s="125" t="s">
        <v>34</v>
      </c>
      <c r="I35" s="125" t="s">
        <v>34</v>
      </c>
      <c r="J35" s="125" t="s">
        <v>34</v>
      </c>
      <c r="K35" s="125">
        <v>250</v>
      </c>
      <c r="L35" s="125" t="s">
        <v>34</v>
      </c>
      <c r="M35" s="125" t="s">
        <v>34</v>
      </c>
      <c r="N35" s="106" t="s">
        <v>36</v>
      </c>
      <c r="O35" s="116"/>
      <c r="P35" s="117"/>
      <c r="Q35" s="27"/>
      <c r="R35" s="28"/>
      <c r="S35" s="28"/>
      <c r="T35" s="29"/>
    </row>
    <row r="36" spans="1:20" ht="20.25" customHeight="1">
      <c r="A36" s="25">
        <v>26</v>
      </c>
      <c r="B36" s="124" t="s">
        <v>33</v>
      </c>
      <c r="C36" s="120">
        <v>105158</v>
      </c>
      <c r="D36" s="121" t="s">
        <v>436</v>
      </c>
      <c r="E36" s="126">
        <v>50028094</v>
      </c>
      <c r="F36" s="119" t="s">
        <v>496</v>
      </c>
      <c r="G36" s="119" t="s">
        <v>497</v>
      </c>
      <c r="H36" s="125" t="s">
        <v>34</v>
      </c>
      <c r="I36" s="125" t="s">
        <v>34</v>
      </c>
      <c r="J36" s="125" t="s">
        <v>34</v>
      </c>
      <c r="K36" s="125">
        <v>100</v>
      </c>
      <c r="L36" s="125" t="s">
        <v>34</v>
      </c>
      <c r="M36" s="125" t="s">
        <v>34</v>
      </c>
      <c r="N36" s="106" t="s">
        <v>36</v>
      </c>
      <c r="O36" s="116"/>
      <c r="P36" s="117"/>
      <c r="Q36" s="27"/>
      <c r="R36" s="28"/>
      <c r="S36" s="28"/>
      <c r="T36" s="29"/>
    </row>
    <row r="37" spans="1:20" ht="20.25" customHeight="1">
      <c r="A37" s="25">
        <v>27</v>
      </c>
      <c r="B37" s="124" t="s">
        <v>33</v>
      </c>
      <c r="C37" s="120">
        <v>105158</v>
      </c>
      <c r="D37" s="121" t="s">
        <v>436</v>
      </c>
      <c r="E37" s="124">
        <v>50029335</v>
      </c>
      <c r="F37" s="118" t="s">
        <v>503</v>
      </c>
      <c r="G37" s="118" t="s">
        <v>506</v>
      </c>
      <c r="H37" s="125">
        <v>1400</v>
      </c>
      <c r="I37" s="125">
        <v>1000</v>
      </c>
      <c r="J37" s="125">
        <v>1000</v>
      </c>
      <c r="K37" s="125">
        <v>1000</v>
      </c>
      <c r="L37" s="125">
        <v>1000</v>
      </c>
      <c r="M37" s="125" t="s">
        <v>34</v>
      </c>
      <c r="N37" s="106" t="s">
        <v>35</v>
      </c>
      <c r="O37" s="116"/>
      <c r="P37" s="117"/>
      <c r="Q37" s="27"/>
      <c r="R37" s="28"/>
      <c r="S37" s="28"/>
      <c r="T37" s="29"/>
    </row>
    <row r="38" spans="1:20" ht="20.25" customHeight="1">
      <c r="A38" s="25">
        <v>28</v>
      </c>
      <c r="B38" s="124" t="s">
        <v>33</v>
      </c>
      <c r="C38" s="120">
        <v>105158</v>
      </c>
      <c r="D38" s="121" t="s">
        <v>436</v>
      </c>
      <c r="E38" s="124">
        <v>50029336</v>
      </c>
      <c r="F38" s="118" t="s">
        <v>504</v>
      </c>
      <c r="G38" s="118" t="s">
        <v>506</v>
      </c>
      <c r="H38" s="125">
        <v>140</v>
      </c>
      <c r="I38" s="125">
        <v>100</v>
      </c>
      <c r="J38" s="125">
        <v>100</v>
      </c>
      <c r="K38" s="125">
        <v>100</v>
      </c>
      <c r="L38" s="125">
        <v>100</v>
      </c>
      <c r="M38" s="125" t="s">
        <v>34</v>
      </c>
      <c r="N38" s="106" t="s">
        <v>35</v>
      </c>
      <c r="O38" s="116"/>
      <c r="P38" s="117"/>
      <c r="Q38" s="27"/>
      <c r="R38" s="28"/>
      <c r="S38" s="28"/>
      <c r="T38" s="29"/>
    </row>
    <row r="39" spans="1:20" ht="20.25" customHeight="1">
      <c r="A39" s="25">
        <v>29</v>
      </c>
      <c r="B39" s="124" t="s">
        <v>33</v>
      </c>
      <c r="C39" s="120">
        <v>105158</v>
      </c>
      <c r="D39" s="121" t="s">
        <v>436</v>
      </c>
      <c r="E39" s="124">
        <v>50029337</v>
      </c>
      <c r="F39" s="118" t="s">
        <v>505</v>
      </c>
      <c r="G39" s="118" t="s">
        <v>506</v>
      </c>
      <c r="H39" s="125">
        <v>300</v>
      </c>
      <c r="I39" s="125">
        <v>190</v>
      </c>
      <c r="J39" s="125">
        <v>190</v>
      </c>
      <c r="K39" s="125">
        <v>190</v>
      </c>
      <c r="L39" s="125">
        <v>190</v>
      </c>
      <c r="M39" s="125" t="s">
        <v>34</v>
      </c>
      <c r="N39" s="106" t="s">
        <v>35</v>
      </c>
      <c r="O39" s="116"/>
      <c r="P39" s="117"/>
      <c r="Q39" s="27"/>
      <c r="R39" s="28"/>
      <c r="S39" s="28"/>
      <c r="T39" s="29"/>
    </row>
    <row r="40" spans="1:20" ht="20.25" customHeight="1">
      <c r="A40" s="25">
        <v>30</v>
      </c>
      <c r="B40" s="124" t="s">
        <v>33</v>
      </c>
      <c r="C40" s="120">
        <v>105158</v>
      </c>
      <c r="D40" s="121" t="s">
        <v>436</v>
      </c>
      <c r="E40" s="124">
        <v>50029408</v>
      </c>
      <c r="F40" s="118" t="s">
        <v>511</v>
      </c>
      <c r="G40" s="118" t="s">
        <v>512</v>
      </c>
      <c r="H40" s="125" t="s">
        <v>34</v>
      </c>
      <c r="I40" s="125" t="s">
        <v>34</v>
      </c>
      <c r="J40" s="125" t="s">
        <v>34</v>
      </c>
      <c r="K40" s="125" t="s">
        <v>34</v>
      </c>
      <c r="L40" s="125" t="s">
        <v>34</v>
      </c>
      <c r="M40" s="125" t="s">
        <v>34</v>
      </c>
      <c r="N40" s="106" t="s">
        <v>36</v>
      </c>
      <c r="O40" s="116"/>
      <c r="P40" s="117"/>
      <c r="Q40" s="27"/>
      <c r="R40" s="28"/>
      <c r="S40" s="28"/>
      <c r="T40" s="29"/>
    </row>
    <row r="41" spans="1:20" ht="20.25" customHeight="1">
      <c r="A41" s="25">
        <v>31</v>
      </c>
      <c r="B41" s="124" t="s">
        <v>33</v>
      </c>
      <c r="C41" s="120">
        <v>105158</v>
      </c>
      <c r="D41" s="121" t="s">
        <v>436</v>
      </c>
      <c r="E41" s="124">
        <v>50029424</v>
      </c>
      <c r="F41" s="118" t="s">
        <v>509</v>
      </c>
      <c r="G41" s="118" t="s">
        <v>510</v>
      </c>
      <c r="H41" s="125">
        <v>100</v>
      </c>
      <c r="I41" s="125">
        <v>100</v>
      </c>
      <c r="J41" s="125">
        <v>100</v>
      </c>
      <c r="K41" s="125">
        <v>50</v>
      </c>
      <c r="L41" s="125" t="s">
        <v>34</v>
      </c>
      <c r="M41" s="125" t="s">
        <v>34</v>
      </c>
      <c r="N41" s="106" t="s">
        <v>36</v>
      </c>
      <c r="O41" s="116"/>
      <c r="P41" s="117"/>
      <c r="Q41" s="27"/>
      <c r="R41" s="28"/>
      <c r="S41" s="28"/>
      <c r="T41" s="29"/>
    </row>
    <row r="42" spans="1:20">
      <c r="A42" s="44"/>
      <c r="B42" s="45"/>
      <c r="C42" s="45"/>
      <c r="D42" s="46"/>
      <c r="E42" s="47"/>
      <c r="F42" s="46"/>
      <c r="G42" s="134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8"/>
    </row>
    <row r="96" spans="4:4">
      <c r="D96" s="2" t="s">
        <v>274</v>
      </c>
    </row>
    <row r="102" spans="5:5">
      <c r="E102" s="6">
        <v>50009666</v>
      </c>
    </row>
    <row r="112" spans="5:5">
      <c r="E112" s="6">
        <v>50011835</v>
      </c>
    </row>
  </sheetData>
  <mergeCells count="17">
    <mergeCell ref="J6:K6"/>
    <mergeCell ref="J8:K8"/>
    <mergeCell ref="O9:T9"/>
    <mergeCell ref="E1:L4"/>
    <mergeCell ref="M1:N1"/>
    <mergeCell ref="O1:P1"/>
    <mergeCell ref="Q1:R1"/>
    <mergeCell ref="S1:T1"/>
    <mergeCell ref="M3:N3"/>
    <mergeCell ref="O3:P3"/>
    <mergeCell ref="Q3:R3"/>
    <mergeCell ref="S3:T3"/>
    <mergeCell ref="M4:N4"/>
    <mergeCell ref="Q10:T10"/>
    <mergeCell ref="O4:P4"/>
    <mergeCell ref="Q4:R4"/>
    <mergeCell ref="S4:T4"/>
  </mergeCells>
  <phoneticPr fontId="82" type="noConversion"/>
  <conditionalFormatting sqref="B11:C41">
    <cfRule type="cellIs" dxfId="7" priority="155" stopIfTrue="1" operator="between">
      <formula>40000000</formula>
      <formula>49999999</formula>
    </cfRule>
    <cfRule type="cellIs" dxfId="6" priority="156" operator="between">
      <formula>20000000</formula>
      <formula>29999999</formula>
    </cfRule>
    <cfRule type="cellIs" priority="157" stopIfTrue="1" operator="between">
      <formula>40000000</formula>
      <formula>49999999</formula>
    </cfRule>
    <cfRule type="cellIs" priority="158" operator="between">
      <formula>20000000</formula>
      <formula>29999999</formula>
    </cfRule>
  </conditionalFormatting>
  <conditionalFormatting sqref="E5:E7">
    <cfRule type="cellIs" dxfId="5" priority="213" stopIfTrue="1" operator="between">
      <formula>40000000</formula>
      <formula>49999999</formula>
    </cfRule>
    <cfRule type="cellIs" dxfId="4" priority="214" operator="between">
      <formula>20000000</formula>
      <formula>29999999</formula>
    </cfRule>
    <cfRule type="cellIs" priority="215" stopIfTrue="1" operator="between">
      <formula>40000000</formula>
      <formula>49999999</formula>
    </cfRule>
    <cfRule type="cellIs" priority="216" operator="between">
      <formula>20000000</formula>
      <formula>29999999</formula>
    </cfRule>
  </conditionalFormatting>
  <conditionalFormatting sqref="E42:E65438">
    <cfRule type="cellIs" priority="165" stopIfTrue="1" operator="between">
      <formula>40000000</formula>
      <formula>49999999</formula>
    </cfRule>
    <cfRule type="cellIs" priority="166" operator="between">
      <formula>20000000</formula>
      <formula>29999999</formula>
    </cfRule>
  </conditionalFormatting>
  <conditionalFormatting sqref="E10:G10">
    <cfRule type="cellIs" priority="5" stopIfTrue="1" operator="between">
      <formula>40000000</formula>
      <formula>49999999</formula>
    </cfRule>
    <cfRule type="cellIs" priority="6" operator="between">
      <formula>20000000</formula>
      <formula>29999999</formula>
    </cfRule>
  </conditionalFormatting>
  <conditionalFormatting sqref="F9">
    <cfRule type="cellIs" dxfId="3" priority="1" stopIfTrue="1" operator="between">
      <formula>40000000</formula>
      <formula>49999999</formula>
    </cfRule>
    <cfRule type="cellIs" dxfId="2" priority="2" operator="between">
      <formula>20000000</formula>
      <formula>29999999</formula>
    </cfRule>
    <cfRule type="cellIs" priority="3" stopIfTrue="1" operator="between">
      <formula>40000000</formula>
      <formula>49999999</formula>
    </cfRule>
    <cfRule type="cellIs" priority="4" operator="between">
      <formula>20000000</formula>
      <formula>29999999</formula>
    </cfRule>
  </conditionalFormatting>
  <printOptions horizontalCentered="1"/>
  <pageMargins left="3.937007874015748E-2" right="3.937007874015748E-2" top="3.937007874015748E-2" bottom="0.59055118110236227" header="0.31496062992125984" footer="3.937007874015748E-2"/>
  <pageSetup paperSize="9" scale="65" fitToHeight="10" orientation="landscape" r:id="rId1"/>
  <headerFooter>
    <oddFooter xml:space="preserve">&amp;LWIS-071-006&amp;R    F-PLS-001-0    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0000"/>
  </sheetPr>
  <dimension ref="A1:O340"/>
  <sheetViews>
    <sheetView showGridLines="0" zoomScale="85" zoomScaleNormal="85" zoomScaleSheetLayoutView="40" workbookViewId="0">
      <pane ySplit="1" topLeftCell="A2" activePane="bottomLeft" state="frozen"/>
      <selection activeCell="O54" sqref="O54"/>
      <selection pane="bottomLeft" activeCell="P290" sqref="P290"/>
    </sheetView>
  </sheetViews>
  <sheetFormatPr defaultColWidth="9" defaultRowHeight="11.4"/>
  <cols>
    <col min="1" max="1" width="5.21875" style="78" customWidth="1"/>
    <col min="2" max="2" width="7.5546875" style="99" customWidth="1"/>
    <col min="3" max="3" width="6.109375" style="99" customWidth="1"/>
    <col min="4" max="4" width="27.21875" style="78" customWidth="1"/>
    <col min="5" max="5" width="12.6640625" style="100" customWidth="1"/>
    <col min="6" max="6" width="39.88671875" style="78" customWidth="1"/>
    <col min="7" max="7" width="9.21875" style="78" customWidth="1"/>
    <col min="8" max="12" width="7.88671875" style="78" customWidth="1"/>
    <col min="13" max="13" width="7.6640625" style="78" customWidth="1"/>
    <col min="14" max="14" width="7.44140625" style="78" customWidth="1"/>
    <col min="15" max="16384" width="9" style="78"/>
  </cols>
  <sheetData>
    <row r="1" spans="1:15" s="84" customFormat="1" ht="20.25" customHeight="1">
      <c r="A1" s="79" t="s">
        <v>0</v>
      </c>
      <c r="B1" s="80" t="s">
        <v>21</v>
      </c>
      <c r="C1" s="80"/>
      <c r="D1" s="81" t="s">
        <v>1</v>
      </c>
      <c r="E1" s="82" t="s">
        <v>2</v>
      </c>
      <c r="F1" s="79" t="s">
        <v>3</v>
      </c>
      <c r="G1" s="79" t="s">
        <v>5</v>
      </c>
      <c r="H1" s="83" t="s">
        <v>412</v>
      </c>
      <c r="I1" s="83" t="s">
        <v>416</v>
      </c>
      <c r="J1" s="83" t="s">
        <v>418</v>
      </c>
      <c r="K1" s="83" t="s">
        <v>419</v>
      </c>
      <c r="L1" s="83" t="s">
        <v>431</v>
      </c>
      <c r="M1" s="83" t="s">
        <v>432</v>
      </c>
      <c r="N1" s="83" t="s">
        <v>20</v>
      </c>
    </row>
    <row r="2" spans="1:15" s="84" customFormat="1" ht="20.25" customHeight="1">
      <c r="A2" s="85"/>
      <c r="B2" s="102" t="s">
        <v>33</v>
      </c>
      <c r="C2" s="86"/>
      <c r="D2" s="87" t="s">
        <v>324</v>
      </c>
      <c r="E2" s="102">
        <v>50022110</v>
      </c>
      <c r="F2" s="103" t="s">
        <v>323</v>
      </c>
      <c r="G2" s="102" t="s">
        <v>325</v>
      </c>
      <c r="H2" s="101" t="s">
        <v>34</v>
      </c>
      <c r="I2" s="101" t="s">
        <v>34</v>
      </c>
      <c r="J2" s="101" t="s">
        <v>34</v>
      </c>
      <c r="K2" s="101" t="s">
        <v>34</v>
      </c>
      <c r="L2" s="101" t="s">
        <v>34</v>
      </c>
      <c r="M2" s="101" t="s">
        <v>34</v>
      </c>
      <c r="N2" s="88" t="s">
        <v>36</v>
      </c>
      <c r="O2" s="104">
        <f>VLOOKUP(E2,'[2]STOCK  19.09.2017'!$F$6:$I$233,4,0)</f>
        <v>139</v>
      </c>
    </row>
    <row r="3" spans="1:15" ht="18.75" customHeight="1">
      <c r="A3" s="85">
        <v>15</v>
      </c>
      <c r="B3" s="102" t="s">
        <v>33</v>
      </c>
      <c r="C3" s="86">
        <v>104516</v>
      </c>
      <c r="D3" s="87" t="s">
        <v>278</v>
      </c>
      <c r="E3" s="102">
        <v>50021431</v>
      </c>
      <c r="F3" s="103" t="s">
        <v>308</v>
      </c>
      <c r="G3" s="102" t="s">
        <v>279</v>
      </c>
      <c r="H3" s="101">
        <v>20000</v>
      </c>
      <c r="I3" s="101">
        <v>5500</v>
      </c>
      <c r="J3" s="101" t="s">
        <v>34</v>
      </c>
      <c r="K3" s="101" t="s">
        <v>34</v>
      </c>
      <c r="L3" s="101" t="s">
        <v>34</v>
      </c>
      <c r="M3" s="101" t="s">
        <v>34</v>
      </c>
      <c r="N3" s="88" t="s">
        <v>36</v>
      </c>
      <c r="O3" s="104" t="e">
        <f>VLOOKUP(E3,'[2]STOCK  19.09.2017'!$F$6:$I$233,4,0)</f>
        <v>#N/A</v>
      </c>
    </row>
    <row r="4" spans="1:15" ht="18.75" customHeight="1">
      <c r="A4" s="85">
        <v>26</v>
      </c>
      <c r="B4" s="102" t="s">
        <v>33</v>
      </c>
      <c r="C4" s="86">
        <v>104581</v>
      </c>
      <c r="D4" s="87" t="s">
        <v>269</v>
      </c>
      <c r="E4" s="102">
        <v>50000517</v>
      </c>
      <c r="F4" s="103" t="s">
        <v>37</v>
      </c>
      <c r="G4" s="102" t="s">
        <v>286</v>
      </c>
      <c r="H4" s="101">
        <v>800</v>
      </c>
      <c r="I4" s="101">
        <v>600</v>
      </c>
      <c r="J4" s="101">
        <v>500</v>
      </c>
      <c r="K4" s="101">
        <v>400</v>
      </c>
      <c r="L4" s="101" t="s">
        <v>34</v>
      </c>
      <c r="M4" s="101" t="s">
        <v>34</v>
      </c>
      <c r="N4" s="88" t="s">
        <v>36</v>
      </c>
      <c r="O4" s="104">
        <f>VLOOKUP(E4,'[2]STOCK  19.09.2017'!$F$6:$I$233,4,0)</f>
        <v>800</v>
      </c>
    </row>
    <row r="5" spans="1:15" ht="18.75" customHeight="1">
      <c r="A5" s="85">
        <v>27</v>
      </c>
      <c r="B5" s="102" t="s">
        <v>33</v>
      </c>
      <c r="C5" s="86">
        <v>104581</v>
      </c>
      <c r="D5" s="87" t="s">
        <v>269</v>
      </c>
      <c r="E5" s="90">
        <v>50001918</v>
      </c>
      <c r="F5" s="105" t="s">
        <v>38</v>
      </c>
      <c r="G5" s="102" t="s">
        <v>286</v>
      </c>
      <c r="H5" s="101">
        <v>50</v>
      </c>
      <c r="I5" s="101">
        <v>50</v>
      </c>
      <c r="J5" s="101" t="s">
        <v>34</v>
      </c>
      <c r="K5" s="101" t="s">
        <v>34</v>
      </c>
      <c r="L5" s="101" t="s">
        <v>34</v>
      </c>
      <c r="M5" s="101" t="s">
        <v>34</v>
      </c>
      <c r="N5" s="88" t="s">
        <v>36</v>
      </c>
      <c r="O5" s="104" t="e">
        <f>VLOOKUP(E5,'[2]STOCK  19.09.2017'!$F$6:$I$233,4,0)</f>
        <v>#N/A</v>
      </c>
    </row>
    <row r="6" spans="1:15" ht="18.75" customHeight="1">
      <c r="A6" s="85">
        <v>28</v>
      </c>
      <c r="B6" s="102" t="s">
        <v>33</v>
      </c>
      <c r="C6" s="86">
        <v>104581</v>
      </c>
      <c r="D6" s="87" t="s">
        <v>269</v>
      </c>
      <c r="E6" s="102">
        <v>50001920</v>
      </c>
      <c r="F6" s="103" t="s">
        <v>39</v>
      </c>
      <c r="G6" s="102" t="s">
        <v>286</v>
      </c>
      <c r="H6" s="101">
        <v>800</v>
      </c>
      <c r="I6" s="101">
        <v>600</v>
      </c>
      <c r="J6" s="101">
        <v>500</v>
      </c>
      <c r="K6" s="101">
        <v>400</v>
      </c>
      <c r="L6" s="101" t="s">
        <v>34</v>
      </c>
      <c r="M6" s="101" t="s">
        <v>34</v>
      </c>
      <c r="N6" s="88" t="s">
        <v>36</v>
      </c>
      <c r="O6" s="104">
        <f>VLOOKUP(E6,'[2]STOCK  19.09.2017'!$F$6:$I$233,4,0)</f>
        <v>400</v>
      </c>
    </row>
    <row r="7" spans="1:15" ht="18.75" customHeight="1">
      <c r="A7" s="85">
        <v>29</v>
      </c>
      <c r="B7" s="102" t="s">
        <v>33</v>
      </c>
      <c r="C7" s="86">
        <v>104581</v>
      </c>
      <c r="D7" s="87" t="s">
        <v>269</v>
      </c>
      <c r="E7" s="102">
        <v>50001921</v>
      </c>
      <c r="F7" s="103" t="s">
        <v>40</v>
      </c>
      <c r="G7" s="102" t="s">
        <v>286</v>
      </c>
      <c r="H7" s="101">
        <v>800</v>
      </c>
      <c r="I7" s="101">
        <v>600</v>
      </c>
      <c r="J7" s="101">
        <v>500</v>
      </c>
      <c r="K7" s="101">
        <v>400</v>
      </c>
      <c r="L7" s="101" t="s">
        <v>34</v>
      </c>
      <c r="M7" s="101" t="s">
        <v>34</v>
      </c>
      <c r="N7" s="88" t="s">
        <v>36</v>
      </c>
      <c r="O7" s="104">
        <f>VLOOKUP(E7,'[2]STOCK  19.09.2017'!$F$6:$I$233,4,0)</f>
        <v>800</v>
      </c>
    </row>
    <row r="8" spans="1:15" ht="18.75" customHeight="1">
      <c r="A8" s="85">
        <v>30</v>
      </c>
      <c r="B8" s="102" t="s">
        <v>33</v>
      </c>
      <c r="C8" s="86">
        <v>104581</v>
      </c>
      <c r="D8" s="87" t="s">
        <v>269</v>
      </c>
      <c r="E8" s="90">
        <v>50004479</v>
      </c>
      <c r="F8" s="105" t="s">
        <v>41</v>
      </c>
      <c r="G8" s="102" t="s">
        <v>287</v>
      </c>
      <c r="H8" s="101">
        <v>20</v>
      </c>
      <c r="I8" s="101">
        <v>20</v>
      </c>
      <c r="J8" s="101" t="s">
        <v>34</v>
      </c>
      <c r="K8" s="101" t="s">
        <v>34</v>
      </c>
      <c r="L8" s="101" t="s">
        <v>34</v>
      </c>
      <c r="M8" s="101" t="s">
        <v>34</v>
      </c>
      <c r="N8" s="88" t="s">
        <v>36</v>
      </c>
      <c r="O8" s="104" t="e">
        <f>VLOOKUP(E8,'[2]STOCK  19.09.2017'!$F$6:$I$233,4,0)</f>
        <v>#N/A</v>
      </c>
    </row>
    <row r="9" spans="1:15" ht="18.75" customHeight="1">
      <c r="A9" s="85">
        <v>31</v>
      </c>
      <c r="B9" s="102" t="s">
        <v>33</v>
      </c>
      <c r="C9" s="86">
        <v>100177</v>
      </c>
      <c r="D9" s="87" t="s">
        <v>266</v>
      </c>
      <c r="E9" s="102">
        <v>50005174</v>
      </c>
      <c r="F9" s="103" t="s">
        <v>267</v>
      </c>
      <c r="G9" s="102" t="s">
        <v>288</v>
      </c>
      <c r="H9" s="101" t="s">
        <v>34</v>
      </c>
      <c r="I9" s="101" t="s">
        <v>34</v>
      </c>
      <c r="J9" s="101" t="s">
        <v>34</v>
      </c>
      <c r="K9" s="101" t="s">
        <v>34</v>
      </c>
      <c r="L9" s="101" t="s">
        <v>34</v>
      </c>
      <c r="M9" s="101" t="s">
        <v>34</v>
      </c>
      <c r="N9" s="88" t="s">
        <v>36</v>
      </c>
      <c r="O9" s="104" t="e">
        <f>VLOOKUP(E9,'[2]STOCK  19.09.2017'!$F$6:$I$233,4,0)</f>
        <v>#N/A</v>
      </c>
    </row>
    <row r="10" spans="1:15" ht="18.75" customHeight="1">
      <c r="A10" s="85">
        <v>32</v>
      </c>
      <c r="B10" s="102" t="s">
        <v>33</v>
      </c>
      <c r="C10" s="86">
        <v>100177</v>
      </c>
      <c r="D10" s="87" t="s">
        <v>266</v>
      </c>
      <c r="E10" s="102">
        <v>50005175</v>
      </c>
      <c r="F10" s="103" t="s">
        <v>268</v>
      </c>
      <c r="G10" s="102" t="s">
        <v>288</v>
      </c>
      <c r="H10" s="101" t="s">
        <v>34</v>
      </c>
      <c r="I10" s="101" t="s">
        <v>34</v>
      </c>
      <c r="J10" s="101" t="s">
        <v>34</v>
      </c>
      <c r="K10" s="101" t="s">
        <v>34</v>
      </c>
      <c r="L10" s="101" t="s">
        <v>34</v>
      </c>
      <c r="M10" s="101" t="s">
        <v>34</v>
      </c>
      <c r="N10" s="88" t="s">
        <v>36</v>
      </c>
      <c r="O10" s="104" t="e">
        <f>VLOOKUP(E10,'[2]STOCK  19.09.2017'!$F$6:$I$233,4,0)</f>
        <v>#N/A</v>
      </c>
    </row>
    <row r="11" spans="1:15" ht="18.75" customHeight="1">
      <c r="A11" s="85">
        <v>40</v>
      </c>
      <c r="B11" s="102" t="s">
        <v>33</v>
      </c>
      <c r="C11" s="86">
        <v>103814</v>
      </c>
      <c r="D11" s="87" t="s">
        <v>270</v>
      </c>
      <c r="E11" s="102">
        <v>50020574</v>
      </c>
      <c r="F11" s="103" t="s">
        <v>313</v>
      </c>
      <c r="G11" s="102" t="s">
        <v>304</v>
      </c>
      <c r="H11" s="101">
        <v>600</v>
      </c>
      <c r="I11" s="101">
        <v>1200</v>
      </c>
      <c r="J11" s="101">
        <v>600</v>
      </c>
      <c r="K11" s="101">
        <v>1600</v>
      </c>
      <c r="L11" s="101" t="s">
        <v>34</v>
      </c>
      <c r="M11" s="101" t="s">
        <v>34</v>
      </c>
      <c r="N11" s="88" t="s">
        <v>36</v>
      </c>
      <c r="O11" s="104">
        <f>VLOOKUP(E11,'[2]STOCK  19.09.2017'!$F$6:$I$233,4,0)</f>
        <v>400</v>
      </c>
    </row>
    <row r="12" spans="1:15" ht="18.75" customHeight="1">
      <c r="A12" s="85">
        <v>41</v>
      </c>
      <c r="B12" s="102" t="s">
        <v>33</v>
      </c>
      <c r="C12" s="86">
        <v>103814</v>
      </c>
      <c r="D12" s="87" t="s">
        <v>270</v>
      </c>
      <c r="E12" s="102">
        <v>50021167</v>
      </c>
      <c r="F12" s="103" t="s">
        <v>314</v>
      </c>
      <c r="G12" s="102" t="s">
        <v>303</v>
      </c>
      <c r="H12" s="101">
        <v>300</v>
      </c>
      <c r="I12" s="101">
        <v>300</v>
      </c>
      <c r="J12" s="101">
        <v>300</v>
      </c>
      <c r="K12" s="101">
        <v>600</v>
      </c>
      <c r="L12" s="101" t="s">
        <v>34</v>
      </c>
      <c r="M12" s="101" t="s">
        <v>34</v>
      </c>
      <c r="N12" s="88" t="s">
        <v>36</v>
      </c>
      <c r="O12" s="104">
        <f>VLOOKUP(E12,'[2]STOCK  19.09.2017'!$F$6:$I$233,4,0)</f>
        <v>400</v>
      </c>
    </row>
    <row r="13" spans="1:15" ht="18.75" customHeight="1">
      <c r="A13" s="85">
        <v>56</v>
      </c>
      <c r="B13" s="102" t="s">
        <v>33</v>
      </c>
      <c r="C13" s="86">
        <v>100253</v>
      </c>
      <c r="D13" s="87" t="s">
        <v>271</v>
      </c>
      <c r="E13" s="102">
        <v>50002434</v>
      </c>
      <c r="F13" s="103" t="s">
        <v>42</v>
      </c>
      <c r="G13" s="102" t="s">
        <v>289</v>
      </c>
      <c r="H13" s="101" t="s">
        <v>34</v>
      </c>
      <c r="I13" s="101" t="s">
        <v>34</v>
      </c>
      <c r="J13" s="101" t="s">
        <v>34</v>
      </c>
      <c r="K13" s="101" t="s">
        <v>34</v>
      </c>
      <c r="L13" s="101" t="s">
        <v>34</v>
      </c>
      <c r="M13" s="101" t="s">
        <v>34</v>
      </c>
      <c r="N13" s="88" t="s">
        <v>36</v>
      </c>
      <c r="O13" s="104" t="e">
        <f>VLOOKUP(E13,'[2]STOCK  19.09.2017'!$F$6:$I$233,4,0)</f>
        <v>#N/A</v>
      </c>
    </row>
    <row r="14" spans="1:15" ht="18.75" customHeight="1">
      <c r="A14" s="85">
        <v>57</v>
      </c>
      <c r="B14" s="102" t="s">
        <v>33</v>
      </c>
      <c r="C14" s="86">
        <v>100253</v>
      </c>
      <c r="D14" s="87" t="s">
        <v>271</v>
      </c>
      <c r="E14" s="102">
        <v>50008186</v>
      </c>
      <c r="F14" s="103" t="s">
        <v>43</v>
      </c>
      <c r="G14" s="102" t="s">
        <v>290</v>
      </c>
      <c r="H14" s="101" t="s">
        <v>34</v>
      </c>
      <c r="I14" s="101" t="s">
        <v>34</v>
      </c>
      <c r="J14" s="101" t="s">
        <v>34</v>
      </c>
      <c r="K14" s="101" t="s">
        <v>34</v>
      </c>
      <c r="L14" s="101" t="s">
        <v>34</v>
      </c>
      <c r="M14" s="101" t="s">
        <v>34</v>
      </c>
      <c r="N14" s="88" t="s">
        <v>36</v>
      </c>
      <c r="O14" s="104" t="e">
        <f>VLOOKUP(E14,'[2]STOCK  19.09.2017'!$F$6:$I$233,4,0)</f>
        <v>#N/A</v>
      </c>
    </row>
    <row r="15" spans="1:15" ht="18.75" customHeight="1">
      <c r="A15" s="85">
        <v>58</v>
      </c>
      <c r="B15" s="102" t="s">
        <v>33</v>
      </c>
      <c r="C15" s="86">
        <v>104532</v>
      </c>
      <c r="D15" s="87" t="s">
        <v>272</v>
      </c>
      <c r="E15" s="102">
        <v>50001271</v>
      </c>
      <c r="F15" s="103" t="s">
        <v>44</v>
      </c>
      <c r="G15" s="102" t="s">
        <v>291</v>
      </c>
      <c r="H15" s="101" t="s">
        <v>34</v>
      </c>
      <c r="I15" s="101" t="s">
        <v>34</v>
      </c>
      <c r="J15" s="101" t="s">
        <v>34</v>
      </c>
      <c r="K15" s="101" t="s">
        <v>34</v>
      </c>
      <c r="L15" s="101" t="s">
        <v>34</v>
      </c>
      <c r="M15" s="101" t="s">
        <v>34</v>
      </c>
      <c r="N15" s="88" t="s">
        <v>36</v>
      </c>
      <c r="O15" s="104" t="e">
        <f>VLOOKUP(E15,'[2]STOCK  19.09.2017'!$F$6:$I$233,4,0)</f>
        <v>#N/A</v>
      </c>
    </row>
    <row r="16" spans="1:15" ht="18.75" customHeight="1">
      <c r="A16" s="85">
        <v>59</v>
      </c>
      <c r="B16" s="102" t="s">
        <v>33</v>
      </c>
      <c r="C16" s="86">
        <v>104532</v>
      </c>
      <c r="D16" s="87" t="s">
        <v>272</v>
      </c>
      <c r="E16" s="102">
        <v>50001272</v>
      </c>
      <c r="F16" s="103" t="s">
        <v>45</v>
      </c>
      <c r="G16" s="102" t="s">
        <v>291</v>
      </c>
      <c r="H16" s="101" t="s">
        <v>34</v>
      </c>
      <c r="I16" s="101" t="s">
        <v>34</v>
      </c>
      <c r="J16" s="101" t="s">
        <v>34</v>
      </c>
      <c r="K16" s="101" t="s">
        <v>34</v>
      </c>
      <c r="L16" s="101" t="s">
        <v>34</v>
      </c>
      <c r="M16" s="101" t="s">
        <v>34</v>
      </c>
      <c r="N16" s="88" t="s">
        <v>36</v>
      </c>
      <c r="O16" s="104" t="e">
        <f>VLOOKUP(E16,'[2]STOCK  19.09.2017'!$F$6:$I$233,4,0)</f>
        <v>#N/A</v>
      </c>
    </row>
    <row r="17" spans="1:15" ht="18.75" customHeight="1">
      <c r="A17" s="85">
        <v>60</v>
      </c>
      <c r="B17" s="102" t="s">
        <v>33</v>
      </c>
      <c r="C17" s="86">
        <v>104532</v>
      </c>
      <c r="D17" s="87" t="s">
        <v>272</v>
      </c>
      <c r="E17" s="102">
        <v>50001376</v>
      </c>
      <c r="F17" s="103" t="s">
        <v>46</v>
      </c>
      <c r="G17" s="102" t="s">
        <v>291</v>
      </c>
      <c r="H17" s="101" t="s">
        <v>34</v>
      </c>
      <c r="I17" s="101" t="s">
        <v>34</v>
      </c>
      <c r="J17" s="101" t="s">
        <v>34</v>
      </c>
      <c r="K17" s="101" t="s">
        <v>34</v>
      </c>
      <c r="L17" s="101" t="s">
        <v>34</v>
      </c>
      <c r="M17" s="101" t="s">
        <v>34</v>
      </c>
      <c r="N17" s="88" t="s">
        <v>36</v>
      </c>
      <c r="O17" s="104" t="e">
        <f>VLOOKUP(E17,'[2]STOCK  19.09.2017'!$F$6:$I$233,4,0)</f>
        <v>#N/A</v>
      </c>
    </row>
    <row r="18" spans="1:15" ht="18.75" customHeight="1">
      <c r="A18" s="85">
        <v>61</v>
      </c>
      <c r="B18" s="102" t="s">
        <v>33</v>
      </c>
      <c r="C18" s="86">
        <v>104532</v>
      </c>
      <c r="D18" s="87" t="s">
        <v>272</v>
      </c>
      <c r="E18" s="102">
        <v>50001378</v>
      </c>
      <c r="F18" s="103" t="s">
        <v>47</v>
      </c>
      <c r="G18" s="102" t="s">
        <v>292</v>
      </c>
      <c r="H18" s="101" t="s">
        <v>34</v>
      </c>
      <c r="I18" s="101" t="s">
        <v>34</v>
      </c>
      <c r="J18" s="101" t="s">
        <v>34</v>
      </c>
      <c r="K18" s="101" t="s">
        <v>34</v>
      </c>
      <c r="L18" s="101" t="s">
        <v>34</v>
      </c>
      <c r="M18" s="101" t="s">
        <v>34</v>
      </c>
      <c r="N18" s="88" t="s">
        <v>36</v>
      </c>
      <c r="O18" s="104" t="e">
        <f>VLOOKUP(E18,'[2]STOCK  19.09.2017'!$F$6:$I$233,4,0)</f>
        <v>#N/A</v>
      </c>
    </row>
    <row r="19" spans="1:15" ht="18.75" customHeight="1">
      <c r="A19" s="85">
        <v>62</v>
      </c>
      <c r="B19" s="102" t="s">
        <v>33</v>
      </c>
      <c r="C19" s="86">
        <v>104532</v>
      </c>
      <c r="D19" s="87" t="s">
        <v>272</v>
      </c>
      <c r="E19" s="102">
        <v>50001465</v>
      </c>
      <c r="F19" s="103" t="s">
        <v>48</v>
      </c>
      <c r="G19" s="102" t="s">
        <v>293</v>
      </c>
      <c r="H19" s="101" t="s">
        <v>34</v>
      </c>
      <c r="I19" s="101" t="s">
        <v>34</v>
      </c>
      <c r="J19" s="101" t="s">
        <v>34</v>
      </c>
      <c r="K19" s="101" t="s">
        <v>34</v>
      </c>
      <c r="L19" s="101" t="s">
        <v>34</v>
      </c>
      <c r="M19" s="101" t="s">
        <v>34</v>
      </c>
      <c r="N19" s="88" t="s">
        <v>36</v>
      </c>
      <c r="O19" s="104" t="e">
        <f>VLOOKUP(E19,'[2]STOCK  19.09.2017'!$F$6:$I$233,4,0)</f>
        <v>#N/A</v>
      </c>
    </row>
    <row r="20" spans="1:15" ht="18.75" customHeight="1">
      <c r="A20" s="85">
        <v>63</v>
      </c>
      <c r="B20" s="102" t="s">
        <v>33</v>
      </c>
      <c r="C20" s="86">
        <v>104532</v>
      </c>
      <c r="D20" s="87" t="s">
        <v>272</v>
      </c>
      <c r="E20" s="102">
        <v>50001504</v>
      </c>
      <c r="F20" s="103" t="s">
        <v>49</v>
      </c>
      <c r="G20" s="102" t="s">
        <v>291</v>
      </c>
      <c r="H20" s="101" t="s">
        <v>34</v>
      </c>
      <c r="I20" s="101" t="s">
        <v>34</v>
      </c>
      <c r="J20" s="101" t="s">
        <v>34</v>
      </c>
      <c r="K20" s="101" t="s">
        <v>34</v>
      </c>
      <c r="L20" s="101" t="s">
        <v>34</v>
      </c>
      <c r="M20" s="101" t="s">
        <v>34</v>
      </c>
      <c r="N20" s="88" t="s">
        <v>36</v>
      </c>
      <c r="O20" s="104" t="e">
        <f>VLOOKUP(E20,'[2]STOCK  19.09.2017'!$F$6:$I$233,4,0)</f>
        <v>#N/A</v>
      </c>
    </row>
    <row r="21" spans="1:15" ht="18.75" customHeight="1">
      <c r="A21" s="85">
        <v>64</v>
      </c>
      <c r="B21" s="102" t="s">
        <v>33</v>
      </c>
      <c r="C21" s="86">
        <v>104532</v>
      </c>
      <c r="D21" s="87" t="s">
        <v>272</v>
      </c>
      <c r="E21" s="102">
        <v>50001521</v>
      </c>
      <c r="F21" s="103" t="s">
        <v>50</v>
      </c>
      <c r="G21" s="102" t="s">
        <v>291</v>
      </c>
      <c r="H21" s="101" t="s">
        <v>34</v>
      </c>
      <c r="I21" s="101" t="s">
        <v>34</v>
      </c>
      <c r="J21" s="101" t="s">
        <v>34</v>
      </c>
      <c r="K21" s="101" t="s">
        <v>34</v>
      </c>
      <c r="L21" s="101" t="s">
        <v>34</v>
      </c>
      <c r="M21" s="101" t="s">
        <v>34</v>
      </c>
      <c r="N21" s="88" t="s">
        <v>36</v>
      </c>
      <c r="O21" s="104" t="e">
        <f>VLOOKUP(E21,'[2]STOCK  19.09.2017'!$F$6:$I$233,4,0)</f>
        <v>#N/A</v>
      </c>
    </row>
    <row r="22" spans="1:15" ht="18.75" customHeight="1">
      <c r="A22" s="85">
        <v>65</v>
      </c>
      <c r="B22" s="102" t="s">
        <v>33</v>
      </c>
      <c r="C22" s="86">
        <v>104532</v>
      </c>
      <c r="D22" s="87" t="s">
        <v>272</v>
      </c>
      <c r="E22" s="102">
        <v>50001526</v>
      </c>
      <c r="F22" s="103" t="s">
        <v>51</v>
      </c>
      <c r="G22" s="102" t="s">
        <v>291</v>
      </c>
      <c r="H22" s="101" t="s">
        <v>34</v>
      </c>
      <c r="I22" s="101" t="s">
        <v>34</v>
      </c>
      <c r="J22" s="101" t="s">
        <v>34</v>
      </c>
      <c r="K22" s="101" t="s">
        <v>34</v>
      </c>
      <c r="L22" s="101" t="s">
        <v>34</v>
      </c>
      <c r="M22" s="101" t="s">
        <v>34</v>
      </c>
      <c r="N22" s="88" t="s">
        <v>36</v>
      </c>
      <c r="O22" s="104">
        <f>VLOOKUP(E22,'[2]STOCK  19.09.2017'!$F$6:$I$233,4,0)</f>
        <v>26</v>
      </c>
    </row>
    <row r="23" spans="1:15" ht="18.75" customHeight="1">
      <c r="A23" s="85">
        <v>66</v>
      </c>
      <c r="B23" s="102" t="s">
        <v>33</v>
      </c>
      <c r="C23" s="86">
        <v>104532</v>
      </c>
      <c r="D23" s="87" t="s">
        <v>272</v>
      </c>
      <c r="E23" s="102">
        <v>50001527</v>
      </c>
      <c r="F23" s="103" t="s">
        <v>52</v>
      </c>
      <c r="G23" s="102" t="s">
        <v>294</v>
      </c>
      <c r="H23" s="101" t="s">
        <v>34</v>
      </c>
      <c r="I23" s="101" t="s">
        <v>34</v>
      </c>
      <c r="J23" s="101" t="s">
        <v>34</v>
      </c>
      <c r="K23" s="101" t="s">
        <v>34</v>
      </c>
      <c r="L23" s="101" t="s">
        <v>34</v>
      </c>
      <c r="M23" s="101" t="s">
        <v>34</v>
      </c>
      <c r="N23" s="88" t="s">
        <v>36</v>
      </c>
      <c r="O23" s="104" t="e">
        <f>VLOOKUP(E23,'[2]STOCK  19.09.2017'!$F$6:$I$233,4,0)</f>
        <v>#N/A</v>
      </c>
    </row>
    <row r="24" spans="1:15" ht="18.75" customHeight="1">
      <c r="A24" s="85">
        <v>67</v>
      </c>
      <c r="B24" s="102" t="s">
        <v>33</v>
      </c>
      <c r="C24" s="86">
        <v>104532</v>
      </c>
      <c r="D24" s="87" t="s">
        <v>272</v>
      </c>
      <c r="E24" s="102">
        <v>50001592</v>
      </c>
      <c r="F24" s="103" t="s">
        <v>420</v>
      </c>
      <c r="G24" s="102" t="s">
        <v>295</v>
      </c>
      <c r="H24" s="101" t="s">
        <v>34</v>
      </c>
      <c r="I24" s="101" t="s">
        <v>34</v>
      </c>
      <c r="J24" s="101" t="s">
        <v>34</v>
      </c>
      <c r="K24" s="101" t="s">
        <v>34</v>
      </c>
      <c r="L24" s="101" t="s">
        <v>34</v>
      </c>
      <c r="M24" s="101" t="s">
        <v>34</v>
      </c>
      <c r="N24" s="88" t="s">
        <v>36</v>
      </c>
      <c r="O24" s="104" t="e">
        <f>VLOOKUP(E24,'[2]STOCK  19.09.2017'!$F$6:$I$233,4,0)</f>
        <v>#N/A</v>
      </c>
    </row>
    <row r="25" spans="1:15" ht="18.75" customHeight="1">
      <c r="A25" s="85">
        <v>68</v>
      </c>
      <c r="B25" s="102" t="s">
        <v>33</v>
      </c>
      <c r="C25" s="86">
        <v>104532</v>
      </c>
      <c r="D25" s="87" t="s">
        <v>272</v>
      </c>
      <c r="E25" s="102">
        <v>50002027</v>
      </c>
      <c r="F25" s="103" t="s">
        <v>53</v>
      </c>
      <c r="G25" s="102" t="s">
        <v>299</v>
      </c>
      <c r="H25" s="101" t="s">
        <v>34</v>
      </c>
      <c r="I25" s="101" t="s">
        <v>34</v>
      </c>
      <c r="J25" s="101" t="s">
        <v>34</v>
      </c>
      <c r="K25" s="101" t="s">
        <v>34</v>
      </c>
      <c r="L25" s="101" t="s">
        <v>34</v>
      </c>
      <c r="M25" s="101" t="s">
        <v>34</v>
      </c>
      <c r="N25" s="88" t="s">
        <v>36</v>
      </c>
      <c r="O25" s="104" t="e">
        <f>VLOOKUP(E25,'[2]STOCK  19.09.2017'!$F$6:$I$233,4,0)</f>
        <v>#N/A</v>
      </c>
    </row>
    <row r="26" spans="1:15" ht="18.75" customHeight="1">
      <c r="A26" s="85">
        <v>69</v>
      </c>
      <c r="B26" s="102" t="s">
        <v>33</v>
      </c>
      <c r="C26" s="86">
        <v>104532</v>
      </c>
      <c r="D26" s="87" t="s">
        <v>272</v>
      </c>
      <c r="E26" s="102">
        <v>50002064</v>
      </c>
      <c r="F26" s="103" t="s">
        <v>54</v>
      </c>
      <c r="G26" s="102" t="s">
        <v>300</v>
      </c>
      <c r="H26" s="101" t="s">
        <v>34</v>
      </c>
      <c r="I26" s="101" t="s">
        <v>34</v>
      </c>
      <c r="J26" s="101" t="s">
        <v>34</v>
      </c>
      <c r="K26" s="101" t="s">
        <v>34</v>
      </c>
      <c r="L26" s="101" t="s">
        <v>34</v>
      </c>
      <c r="M26" s="101" t="s">
        <v>34</v>
      </c>
      <c r="N26" s="88" t="s">
        <v>36</v>
      </c>
      <c r="O26" s="104" t="e">
        <f>VLOOKUP(E26,'[2]STOCK  19.09.2017'!$F$6:$I$233,4,0)</f>
        <v>#N/A</v>
      </c>
    </row>
    <row r="27" spans="1:15" ht="18.75" customHeight="1">
      <c r="A27" s="85">
        <v>70</v>
      </c>
      <c r="B27" s="102" t="s">
        <v>33</v>
      </c>
      <c r="C27" s="86">
        <v>104532</v>
      </c>
      <c r="D27" s="87" t="s">
        <v>272</v>
      </c>
      <c r="E27" s="102">
        <v>50002078</v>
      </c>
      <c r="F27" s="103" t="s">
        <v>55</v>
      </c>
      <c r="G27" s="102" t="s">
        <v>298</v>
      </c>
      <c r="H27" s="101" t="s">
        <v>34</v>
      </c>
      <c r="I27" s="101" t="s">
        <v>34</v>
      </c>
      <c r="J27" s="101" t="s">
        <v>34</v>
      </c>
      <c r="K27" s="101" t="s">
        <v>34</v>
      </c>
      <c r="L27" s="101" t="s">
        <v>34</v>
      </c>
      <c r="M27" s="101" t="s">
        <v>34</v>
      </c>
      <c r="N27" s="88" t="s">
        <v>36</v>
      </c>
      <c r="O27" s="104" t="e">
        <f>VLOOKUP(E27,'[2]STOCK  19.09.2017'!$F$6:$I$233,4,0)</f>
        <v>#N/A</v>
      </c>
    </row>
    <row r="28" spans="1:15" ht="18.75" customHeight="1">
      <c r="A28" s="85">
        <v>71</v>
      </c>
      <c r="B28" s="102" t="s">
        <v>33</v>
      </c>
      <c r="C28" s="86">
        <v>104532</v>
      </c>
      <c r="D28" s="87" t="s">
        <v>272</v>
      </c>
      <c r="E28" s="102">
        <v>50002094</v>
      </c>
      <c r="F28" s="103" t="s">
        <v>56</v>
      </c>
      <c r="G28" s="102"/>
      <c r="H28" s="101" t="s">
        <v>34</v>
      </c>
      <c r="I28" s="101" t="s">
        <v>34</v>
      </c>
      <c r="J28" s="101" t="s">
        <v>34</v>
      </c>
      <c r="K28" s="101" t="s">
        <v>34</v>
      </c>
      <c r="L28" s="101" t="s">
        <v>34</v>
      </c>
      <c r="M28" s="101" t="s">
        <v>34</v>
      </c>
      <c r="N28" s="88" t="s">
        <v>36</v>
      </c>
      <c r="O28" s="104" t="e">
        <f>VLOOKUP(E28,'[2]STOCK  19.09.2017'!$F$6:$I$233,4,0)</f>
        <v>#N/A</v>
      </c>
    </row>
    <row r="29" spans="1:15" ht="18.75" customHeight="1">
      <c r="A29" s="85">
        <v>72</v>
      </c>
      <c r="B29" s="102" t="s">
        <v>33</v>
      </c>
      <c r="C29" s="86">
        <v>104532</v>
      </c>
      <c r="D29" s="87" t="s">
        <v>272</v>
      </c>
      <c r="E29" s="102">
        <v>50002119</v>
      </c>
      <c r="F29" s="103" t="s">
        <v>57</v>
      </c>
      <c r="G29" s="102"/>
      <c r="H29" s="101" t="s">
        <v>34</v>
      </c>
      <c r="I29" s="101" t="s">
        <v>34</v>
      </c>
      <c r="J29" s="101" t="s">
        <v>34</v>
      </c>
      <c r="K29" s="101" t="s">
        <v>34</v>
      </c>
      <c r="L29" s="101" t="s">
        <v>34</v>
      </c>
      <c r="M29" s="101" t="s">
        <v>34</v>
      </c>
      <c r="N29" s="88" t="s">
        <v>36</v>
      </c>
      <c r="O29" s="104" t="e">
        <f>VLOOKUP(E29,'[2]STOCK  19.09.2017'!$F$6:$I$233,4,0)</f>
        <v>#N/A</v>
      </c>
    </row>
    <row r="30" spans="1:15" ht="18.75" customHeight="1">
      <c r="A30" s="85">
        <v>73</v>
      </c>
      <c r="B30" s="102" t="s">
        <v>33</v>
      </c>
      <c r="C30" s="86">
        <v>104532</v>
      </c>
      <c r="D30" s="87" t="s">
        <v>272</v>
      </c>
      <c r="E30" s="102">
        <v>50002120</v>
      </c>
      <c r="F30" s="103" t="s">
        <v>58</v>
      </c>
      <c r="G30" s="102"/>
      <c r="H30" s="101" t="s">
        <v>34</v>
      </c>
      <c r="I30" s="101" t="s">
        <v>34</v>
      </c>
      <c r="J30" s="101" t="s">
        <v>34</v>
      </c>
      <c r="K30" s="101" t="s">
        <v>34</v>
      </c>
      <c r="L30" s="101" t="s">
        <v>34</v>
      </c>
      <c r="M30" s="101" t="s">
        <v>34</v>
      </c>
      <c r="N30" s="88" t="s">
        <v>36</v>
      </c>
      <c r="O30" s="104" t="e">
        <f>VLOOKUP(E30,'[2]STOCK  19.09.2017'!$F$6:$I$233,4,0)</f>
        <v>#N/A</v>
      </c>
    </row>
    <row r="31" spans="1:15" ht="18.75" customHeight="1">
      <c r="A31" s="85">
        <v>74</v>
      </c>
      <c r="B31" s="102" t="s">
        <v>33</v>
      </c>
      <c r="C31" s="86">
        <v>104532</v>
      </c>
      <c r="D31" s="87" t="s">
        <v>272</v>
      </c>
      <c r="E31" s="102">
        <v>50002122</v>
      </c>
      <c r="F31" s="103" t="s">
        <v>59</v>
      </c>
      <c r="G31" s="102"/>
      <c r="H31" s="101" t="s">
        <v>34</v>
      </c>
      <c r="I31" s="101" t="s">
        <v>34</v>
      </c>
      <c r="J31" s="101" t="s">
        <v>34</v>
      </c>
      <c r="K31" s="101" t="s">
        <v>34</v>
      </c>
      <c r="L31" s="101" t="s">
        <v>34</v>
      </c>
      <c r="M31" s="101" t="s">
        <v>34</v>
      </c>
      <c r="N31" s="88" t="s">
        <v>36</v>
      </c>
      <c r="O31" s="104" t="e">
        <f>VLOOKUP(E31,'[2]STOCK  19.09.2017'!$F$6:$I$233,4,0)</f>
        <v>#N/A</v>
      </c>
    </row>
    <row r="32" spans="1:15" ht="18.75" customHeight="1">
      <c r="A32" s="85">
        <v>75</v>
      </c>
      <c r="B32" s="102" t="s">
        <v>33</v>
      </c>
      <c r="C32" s="86">
        <v>104532</v>
      </c>
      <c r="D32" s="87" t="s">
        <v>272</v>
      </c>
      <c r="E32" s="102">
        <v>50002123</v>
      </c>
      <c r="F32" s="103" t="s">
        <v>60</v>
      </c>
      <c r="G32" s="102"/>
      <c r="H32" s="101" t="s">
        <v>34</v>
      </c>
      <c r="I32" s="101" t="s">
        <v>34</v>
      </c>
      <c r="J32" s="101" t="s">
        <v>34</v>
      </c>
      <c r="K32" s="101" t="s">
        <v>34</v>
      </c>
      <c r="L32" s="101" t="s">
        <v>34</v>
      </c>
      <c r="M32" s="101" t="s">
        <v>34</v>
      </c>
      <c r="N32" s="88" t="s">
        <v>36</v>
      </c>
      <c r="O32" s="104" t="e">
        <f>VLOOKUP(E32,'[2]STOCK  19.09.2017'!$F$6:$I$233,4,0)</f>
        <v>#N/A</v>
      </c>
    </row>
    <row r="33" spans="1:15" ht="18.75" customHeight="1">
      <c r="A33" s="85">
        <v>76</v>
      </c>
      <c r="B33" s="102" t="s">
        <v>33</v>
      </c>
      <c r="C33" s="86">
        <v>104532</v>
      </c>
      <c r="D33" s="87" t="s">
        <v>272</v>
      </c>
      <c r="E33" s="102">
        <v>50002195</v>
      </c>
      <c r="F33" s="103" t="s">
        <v>61</v>
      </c>
      <c r="G33" s="102"/>
      <c r="H33" s="101" t="s">
        <v>34</v>
      </c>
      <c r="I33" s="101" t="s">
        <v>34</v>
      </c>
      <c r="J33" s="101" t="s">
        <v>34</v>
      </c>
      <c r="K33" s="101" t="s">
        <v>34</v>
      </c>
      <c r="L33" s="101" t="s">
        <v>34</v>
      </c>
      <c r="M33" s="101" t="s">
        <v>34</v>
      </c>
      <c r="N33" s="88" t="s">
        <v>36</v>
      </c>
      <c r="O33" s="104" t="e">
        <f>VLOOKUP(E33,'[2]STOCK  19.09.2017'!$F$6:$I$233,4,0)</f>
        <v>#N/A</v>
      </c>
    </row>
    <row r="34" spans="1:15" ht="18.75" customHeight="1">
      <c r="A34" s="85">
        <v>77</v>
      </c>
      <c r="B34" s="102" t="s">
        <v>33</v>
      </c>
      <c r="C34" s="86">
        <v>104532</v>
      </c>
      <c r="D34" s="87" t="s">
        <v>272</v>
      </c>
      <c r="E34" s="102">
        <v>50002212</v>
      </c>
      <c r="F34" s="103" t="s">
        <v>421</v>
      </c>
      <c r="G34" s="102"/>
      <c r="H34" s="101" t="s">
        <v>34</v>
      </c>
      <c r="I34" s="101" t="s">
        <v>34</v>
      </c>
      <c r="J34" s="101" t="s">
        <v>34</v>
      </c>
      <c r="K34" s="101" t="s">
        <v>34</v>
      </c>
      <c r="L34" s="101" t="s">
        <v>34</v>
      </c>
      <c r="M34" s="101" t="s">
        <v>34</v>
      </c>
      <c r="N34" s="88" t="s">
        <v>36</v>
      </c>
      <c r="O34" s="104" t="e">
        <f>VLOOKUP(E34,'[2]STOCK  19.09.2017'!$F$6:$I$233,4,0)</f>
        <v>#N/A</v>
      </c>
    </row>
    <row r="35" spans="1:15" ht="18.75" customHeight="1">
      <c r="A35" s="85">
        <v>78</v>
      </c>
      <c r="B35" s="102" t="s">
        <v>33</v>
      </c>
      <c r="C35" s="86">
        <v>104532</v>
      </c>
      <c r="D35" s="87" t="s">
        <v>272</v>
      </c>
      <c r="E35" s="90">
        <v>50002213</v>
      </c>
      <c r="F35" s="105" t="s">
        <v>62</v>
      </c>
      <c r="G35" s="102"/>
      <c r="H35" s="101" t="s">
        <v>34</v>
      </c>
      <c r="I35" s="101" t="s">
        <v>34</v>
      </c>
      <c r="J35" s="101" t="s">
        <v>34</v>
      </c>
      <c r="K35" s="101" t="s">
        <v>34</v>
      </c>
      <c r="L35" s="101" t="s">
        <v>34</v>
      </c>
      <c r="M35" s="101" t="s">
        <v>34</v>
      </c>
      <c r="N35" s="88" t="s">
        <v>36</v>
      </c>
      <c r="O35" s="104">
        <f>VLOOKUP(E35,'[2]STOCK  19.09.2017'!$F$6:$I$233,4,0)</f>
        <v>36</v>
      </c>
    </row>
    <row r="36" spans="1:15" ht="18.75" customHeight="1">
      <c r="A36" s="85">
        <v>79</v>
      </c>
      <c r="B36" s="102" t="s">
        <v>33</v>
      </c>
      <c r="C36" s="86">
        <v>104532</v>
      </c>
      <c r="D36" s="87" t="s">
        <v>272</v>
      </c>
      <c r="E36" s="102">
        <v>50002237</v>
      </c>
      <c r="F36" s="103" t="s">
        <v>63</v>
      </c>
      <c r="G36" s="102"/>
      <c r="H36" s="101" t="s">
        <v>34</v>
      </c>
      <c r="I36" s="101" t="s">
        <v>34</v>
      </c>
      <c r="J36" s="101" t="s">
        <v>34</v>
      </c>
      <c r="K36" s="101" t="s">
        <v>34</v>
      </c>
      <c r="L36" s="101" t="s">
        <v>34</v>
      </c>
      <c r="M36" s="101" t="s">
        <v>34</v>
      </c>
      <c r="N36" s="88" t="s">
        <v>36</v>
      </c>
      <c r="O36" s="104" t="e">
        <f>VLOOKUP(E36,'[2]STOCK  19.09.2017'!$F$6:$I$233,4,0)</f>
        <v>#N/A</v>
      </c>
    </row>
    <row r="37" spans="1:15" ht="18.75" customHeight="1">
      <c r="A37" s="85">
        <v>80</v>
      </c>
      <c r="B37" s="102" t="s">
        <v>33</v>
      </c>
      <c r="C37" s="86">
        <v>104532</v>
      </c>
      <c r="D37" s="87" t="s">
        <v>272</v>
      </c>
      <c r="E37" s="90">
        <v>50002242</v>
      </c>
      <c r="F37" s="105" t="s">
        <v>64</v>
      </c>
      <c r="G37" s="102"/>
      <c r="H37" s="101" t="s">
        <v>34</v>
      </c>
      <c r="I37" s="101" t="s">
        <v>34</v>
      </c>
      <c r="J37" s="101" t="s">
        <v>34</v>
      </c>
      <c r="K37" s="101" t="s">
        <v>34</v>
      </c>
      <c r="L37" s="101" t="s">
        <v>34</v>
      </c>
      <c r="M37" s="101" t="s">
        <v>34</v>
      </c>
      <c r="N37" s="88" t="s">
        <v>36</v>
      </c>
      <c r="O37" s="104">
        <f>VLOOKUP(E37,'[2]STOCK  19.09.2017'!$F$6:$I$233,4,0)</f>
        <v>21</v>
      </c>
    </row>
    <row r="38" spans="1:15" ht="18.75" customHeight="1">
      <c r="A38" s="85">
        <v>81</v>
      </c>
      <c r="B38" s="102" t="s">
        <v>33</v>
      </c>
      <c r="C38" s="86">
        <v>104532</v>
      </c>
      <c r="D38" s="87" t="s">
        <v>272</v>
      </c>
      <c r="E38" s="102">
        <v>50002275</v>
      </c>
      <c r="F38" s="103" t="s">
        <v>65</v>
      </c>
      <c r="G38" s="102"/>
      <c r="H38" s="101" t="s">
        <v>34</v>
      </c>
      <c r="I38" s="101" t="s">
        <v>34</v>
      </c>
      <c r="J38" s="101" t="s">
        <v>34</v>
      </c>
      <c r="K38" s="101" t="s">
        <v>34</v>
      </c>
      <c r="L38" s="101" t="s">
        <v>34</v>
      </c>
      <c r="M38" s="101" t="s">
        <v>34</v>
      </c>
      <c r="N38" s="88" t="s">
        <v>36</v>
      </c>
      <c r="O38" s="104" t="e">
        <f>VLOOKUP(E38,'[2]STOCK  19.09.2017'!$F$6:$I$233,4,0)</f>
        <v>#N/A</v>
      </c>
    </row>
    <row r="39" spans="1:15" ht="18.75" customHeight="1">
      <c r="A39" s="85">
        <v>82</v>
      </c>
      <c r="B39" s="102" t="s">
        <v>33</v>
      </c>
      <c r="C39" s="86">
        <v>104532</v>
      </c>
      <c r="D39" s="87" t="s">
        <v>272</v>
      </c>
      <c r="E39" s="102">
        <v>50002344</v>
      </c>
      <c r="F39" s="103" t="s">
        <v>66</v>
      </c>
      <c r="G39" s="102"/>
      <c r="H39" s="101" t="s">
        <v>34</v>
      </c>
      <c r="I39" s="101" t="s">
        <v>34</v>
      </c>
      <c r="J39" s="101" t="s">
        <v>34</v>
      </c>
      <c r="K39" s="101" t="s">
        <v>34</v>
      </c>
      <c r="L39" s="101" t="s">
        <v>34</v>
      </c>
      <c r="M39" s="101" t="s">
        <v>34</v>
      </c>
      <c r="N39" s="88" t="s">
        <v>36</v>
      </c>
      <c r="O39" s="104" t="e">
        <f>VLOOKUP(E39,'[2]STOCK  19.09.2017'!$F$6:$I$233,4,0)</f>
        <v>#N/A</v>
      </c>
    </row>
    <row r="40" spans="1:15" ht="18.75" customHeight="1">
      <c r="A40" s="85">
        <v>83</v>
      </c>
      <c r="B40" s="102" t="s">
        <v>33</v>
      </c>
      <c r="C40" s="86">
        <v>104532</v>
      </c>
      <c r="D40" s="87" t="s">
        <v>272</v>
      </c>
      <c r="E40" s="102">
        <v>50002388</v>
      </c>
      <c r="F40" s="103" t="s">
        <v>67</v>
      </c>
      <c r="G40" s="102"/>
      <c r="H40" s="101" t="s">
        <v>34</v>
      </c>
      <c r="I40" s="101" t="s">
        <v>34</v>
      </c>
      <c r="J40" s="101" t="s">
        <v>34</v>
      </c>
      <c r="K40" s="101" t="s">
        <v>34</v>
      </c>
      <c r="L40" s="101" t="s">
        <v>34</v>
      </c>
      <c r="M40" s="101" t="s">
        <v>34</v>
      </c>
      <c r="N40" s="88" t="s">
        <v>36</v>
      </c>
      <c r="O40" s="104" t="e">
        <f>VLOOKUP(E40,'[2]STOCK  19.09.2017'!$F$6:$I$233,4,0)</f>
        <v>#N/A</v>
      </c>
    </row>
    <row r="41" spans="1:15" ht="18.75" customHeight="1">
      <c r="A41" s="85">
        <v>84</v>
      </c>
      <c r="B41" s="102" t="s">
        <v>33</v>
      </c>
      <c r="C41" s="86">
        <v>104532</v>
      </c>
      <c r="D41" s="87" t="s">
        <v>272</v>
      </c>
      <c r="E41" s="102">
        <v>50002395</v>
      </c>
      <c r="F41" s="103" t="s">
        <v>68</v>
      </c>
      <c r="G41" s="102"/>
      <c r="H41" s="101" t="s">
        <v>34</v>
      </c>
      <c r="I41" s="101" t="s">
        <v>34</v>
      </c>
      <c r="J41" s="101" t="s">
        <v>34</v>
      </c>
      <c r="K41" s="101" t="s">
        <v>34</v>
      </c>
      <c r="L41" s="101" t="s">
        <v>34</v>
      </c>
      <c r="M41" s="101" t="s">
        <v>34</v>
      </c>
      <c r="N41" s="88" t="s">
        <v>36</v>
      </c>
      <c r="O41" s="104" t="e">
        <f>VLOOKUP(E41,'[2]STOCK  19.09.2017'!$F$6:$I$233,4,0)</f>
        <v>#N/A</v>
      </c>
    </row>
    <row r="42" spans="1:15" ht="18.75" customHeight="1">
      <c r="A42" s="85">
        <v>85</v>
      </c>
      <c r="B42" s="102" t="s">
        <v>33</v>
      </c>
      <c r="C42" s="86">
        <v>104532</v>
      </c>
      <c r="D42" s="87" t="s">
        <v>272</v>
      </c>
      <c r="E42" s="102">
        <v>50002396</v>
      </c>
      <c r="F42" s="103" t="s">
        <v>69</v>
      </c>
      <c r="G42" s="102"/>
      <c r="H42" s="101" t="s">
        <v>34</v>
      </c>
      <c r="I42" s="101" t="s">
        <v>34</v>
      </c>
      <c r="J42" s="101" t="s">
        <v>34</v>
      </c>
      <c r="K42" s="101" t="s">
        <v>34</v>
      </c>
      <c r="L42" s="101" t="s">
        <v>34</v>
      </c>
      <c r="M42" s="101" t="s">
        <v>34</v>
      </c>
      <c r="N42" s="88" t="s">
        <v>36</v>
      </c>
      <c r="O42" s="104" t="e">
        <f>VLOOKUP(E42,'[2]STOCK  19.09.2017'!$F$6:$I$233,4,0)</f>
        <v>#N/A</v>
      </c>
    </row>
    <row r="43" spans="1:15" ht="18.75" customHeight="1">
      <c r="A43" s="85">
        <v>86</v>
      </c>
      <c r="B43" s="102" t="s">
        <v>33</v>
      </c>
      <c r="C43" s="86">
        <v>104532</v>
      </c>
      <c r="D43" s="87" t="s">
        <v>272</v>
      </c>
      <c r="E43" s="102">
        <v>50002410</v>
      </c>
      <c r="F43" s="103" t="s">
        <v>70</v>
      </c>
      <c r="G43" s="102"/>
      <c r="H43" s="101" t="s">
        <v>34</v>
      </c>
      <c r="I43" s="101" t="s">
        <v>34</v>
      </c>
      <c r="J43" s="101" t="s">
        <v>34</v>
      </c>
      <c r="K43" s="101" t="s">
        <v>34</v>
      </c>
      <c r="L43" s="101" t="s">
        <v>34</v>
      </c>
      <c r="M43" s="101" t="s">
        <v>34</v>
      </c>
      <c r="N43" s="88" t="s">
        <v>36</v>
      </c>
      <c r="O43" s="104" t="e">
        <f>VLOOKUP(E43,'[2]STOCK  19.09.2017'!$F$6:$I$233,4,0)</f>
        <v>#N/A</v>
      </c>
    </row>
    <row r="44" spans="1:15" ht="18.75" customHeight="1">
      <c r="A44" s="85">
        <v>87</v>
      </c>
      <c r="B44" s="102" t="s">
        <v>33</v>
      </c>
      <c r="C44" s="86">
        <v>104532</v>
      </c>
      <c r="D44" s="87" t="s">
        <v>272</v>
      </c>
      <c r="E44" s="102">
        <v>50002585</v>
      </c>
      <c r="F44" s="103" t="s">
        <v>71</v>
      </c>
      <c r="G44" s="102"/>
      <c r="H44" s="101" t="s">
        <v>34</v>
      </c>
      <c r="I44" s="101" t="s">
        <v>34</v>
      </c>
      <c r="J44" s="101" t="s">
        <v>34</v>
      </c>
      <c r="K44" s="101" t="s">
        <v>34</v>
      </c>
      <c r="L44" s="101" t="s">
        <v>34</v>
      </c>
      <c r="M44" s="101" t="s">
        <v>34</v>
      </c>
      <c r="N44" s="88" t="s">
        <v>36</v>
      </c>
      <c r="O44" s="104" t="e">
        <f>VLOOKUP(E44,'[2]STOCK  19.09.2017'!$F$6:$I$233,4,0)</f>
        <v>#N/A</v>
      </c>
    </row>
    <row r="45" spans="1:15" ht="18.75" customHeight="1">
      <c r="A45" s="85">
        <v>88</v>
      </c>
      <c r="B45" s="102" t="s">
        <v>33</v>
      </c>
      <c r="C45" s="86">
        <v>104532</v>
      </c>
      <c r="D45" s="87" t="s">
        <v>272</v>
      </c>
      <c r="E45" s="102">
        <v>50002592</v>
      </c>
      <c r="F45" s="103" t="s">
        <v>72</v>
      </c>
      <c r="G45" s="102"/>
      <c r="H45" s="101" t="s">
        <v>34</v>
      </c>
      <c r="I45" s="101" t="s">
        <v>34</v>
      </c>
      <c r="J45" s="101" t="s">
        <v>34</v>
      </c>
      <c r="K45" s="101" t="s">
        <v>34</v>
      </c>
      <c r="L45" s="101" t="s">
        <v>34</v>
      </c>
      <c r="M45" s="101" t="s">
        <v>34</v>
      </c>
      <c r="N45" s="88" t="s">
        <v>36</v>
      </c>
      <c r="O45" s="104" t="e">
        <f>VLOOKUP(E45,'[2]STOCK  19.09.2017'!$F$6:$I$233,4,0)</f>
        <v>#N/A</v>
      </c>
    </row>
    <row r="46" spans="1:15" ht="18.75" customHeight="1">
      <c r="A46" s="85">
        <v>89</v>
      </c>
      <c r="B46" s="102" t="s">
        <v>33</v>
      </c>
      <c r="C46" s="86">
        <v>104532</v>
      </c>
      <c r="D46" s="87" t="s">
        <v>272</v>
      </c>
      <c r="E46" s="102">
        <v>50002948</v>
      </c>
      <c r="F46" s="103" t="s">
        <v>73</v>
      </c>
      <c r="G46" s="102"/>
      <c r="H46" s="101" t="s">
        <v>34</v>
      </c>
      <c r="I46" s="101" t="s">
        <v>34</v>
      </c>
      <c r="J46" s="101" t="s">
        <v>34</v>
      </c>
      <c r="K46" s="101" t="s">
        <v>34</v>
      </c>
      <c r="L46" s="101" t="s">
        <v>34</v>
      </c>
      <c r="M46" s="101" t="s">
        <v>34</v>
      </c>
      <c r="N46" s="88" t="s">
        <v>36</v>
      </c>
      <c r="O46" s="104" t="e">
        <f>VLOOKUP(E46,'[2]STOCK  19.09.2017'!$F$6:$I$233,4,0)</f>
        <v>#N/A</v>
      </c>
    </row>
    <row r="47" spans="1:15" ht="18.75" customHeight="1">
      <c r="A47" s="85">
        <v>90</v>
      </c>
      <c r="B47" s="102" t="s">
        <v>33</v>
      </c>
      <c r="C47" s="86">
        <v>104532</v>
      </c>
      <c r="D47" s="87" t="s">
        <v>272</v>
      </c>
      <c r="E47" s="102">
        <v>50002963</v>
      </c>
      <c r="F47" s="103" t="s">
        <v>74</v>
      </c>
      <c r="G47" s="102"/>
      <c r="H47" s="101" t="s">
        <v>34</v>
      </c>
      <c r="I47" s="101" t="s">
        <v>34</v>
      </c>
      <c r="J47" s="101" t="s">
        <v>34</v>
      </c>
      <c r="K47" s="101" t="s">
        <v>34</v>
      </c>
      <c r="L47" s="101" t="s">
        <v>34</v>
      </c>
      <c r="M47" s="101" t="s">
        <v>34</v>
      </c>
      <c r="N47" s="88" t="s">
        <v>36</v>
      </c>
      <c r="O47" s="104" t="e">
        <f>VLOOKUP(E47,'[2]STOCK  19.09.2017'!$F$6:$I$233,4,0)</f>
        <v>#N/A</v>
      </c>
    </row>
    <row r="48" spans="1:15" ht="18.75" customHeight="1">
      <c r="A48" s="85">
        <v>91</v>
      </c>
      <c r="B48" s="102" t="s">
        <v>33</v>
      </c>
      <c r="C48" s="86">
        <v>104532</v>
      </c>
      <c r="D48" s="87" t="s">
        <v>272</v>
      </c>
      <c r="E48" s="102">
        <v>50003299</v>
      </c>
      <c r="F48" s="103" t="s">
        <v>75</v>
      </c>
      <c r="G48" s="102"/>
      <c r="H48" s="101" t="s">
        <v>34</v>
      </c>
      <c r="I48" s="101" t="s">
        <v>34</v>
      </c>
      <c r="J48" s="101" t="s">
        <v>34</v>
      </c>
      <c r="K48" s="101" t="s">
        <v>34</v>
      </c>
      <c r="L48" s="101" t="s">
        <v>34</v>
      </c>
      <c r="M48" s="101" t="s">
        <v>34</v>
      </c>
      <c r="N48" s="88" t="s">
        <v>36</v>
      </c>
      <c r="O48" s="104" t="e">
        <f>VLOOKUP(E48,'[2]STOCK  19.09.2017'!$F$6:$I$233,4,0)</f>
        <v>#N/A</v>
      </c>
    </row>
    <row r="49" spans="1:15" ht="18.75" customHeight="1">
      <c r="A49" s="85">
        <v>92</v>
      </c>
      <c r="B49" s="102" t="s">
        <v>33</v>
      </c>
      <c r="C49" s="86">
        <v>104532</v>
      </c>
      <c r="D49" s="87" t="s">
        <v>272</v>
      </c>
      <c r="E49" s="102">
        <v>50003302</v>
      </c>
      <c r="F49" s="103" t="s">
        <v>76</v>
      </c>
      <c r="G49" s="102"/>
      <c r="H49" s="101" t="s">
        <v>34</v>
      </c>
      <c r="I49" s="101" t="s">
        <v>34</v>
      </c>
      <c r="J49" s="101" t="s">
        <v>34</v>
      </c>
      <c r="K49" s="101" t="s">
        <v>34</v>
      </c>
      <c r="L49" s="101" t="s">
        <v>34</v>
      </c>
      <c r="M49" s="101" t="s">
        <v>34</v>
      </c>
      <c r="N49" s="88" t="s">
        <v>36</v>
      </c>
      <c r="O49" s="104">
        <f>VLOOKUP(E49,'[2]STOCK  19.09.2017'!$F$6:$I$233,4,0)</f>
        <v>600</v>
      </c>
    </row>
    <row r="50" spans="1:15" ht="18.75" customHeight="1">
      <c r="A50" s="85">
        <v>93</v>
      </c>
      <c r="B50" s="102" t="s">
        <v>33</v>
      </c>
      <c r="C50" s="86">
        <v>104532</v>
      </c>
      <c r="D50" s="87" t="s">
        <v>272</v>
      </c>
      <c r="E50" s="102">
        <v>50003305</v>
      </c>
      <c r="F50" s="103" t="s">
        <v>422</v>
      </c>
      <c r="G50" s="102"/>
      <c r="H50" s="101" t="s">
        <v>34</v>
      </c>
      <c r="I50" s="101" t="s">
        <v>34</v>
      </c>
      <c r="J50" s="101" t="s">
        <v>34</v>
      </c>
      <c r="K50" s="101" t="s">
        <v>34</v>
      </c>
      <c r="L50" s="101" t="s">
        <v>34</v>
      </c>
      <c r="M50" s="101" t="s">
        <v>34</v>
      </c>
      <c r="N50" s="88" t="s">
        <v>36</v>
      </c>
      <c r="O50" s="104" t="e">
        <f>VLOOKUP(E50,'[2]STOCK  19.09.2017'!$F$6:$I$233,4,0)</f>
        <v>#N/A</v>
      </c>
    </row>
    <row r="51" spans="1:15" ht="18.75" customHeight="1">
      <c r="A51" s="85">
        <v>95</v>
      </c>
      <c r="B51" s="102" t="s">
        <v>33</v>
      </c>
      <c r="C51" s="86">
        <v>104532</v>
      </c>
      <c r="D51" s="87" t="s">
        <v>272</v>
      </c>
      <c r="E51" s="102">
        <v>50003638</v>
      </c>
      <c r="F51" s="103" t="s">
        <v>77</v>
      </c>
      <c r="G51" s="102"/>
      <c r="H51" s="101" t="s">
        <v>34</v>
      </c>
      <c r="I51" s="101" t="s">
        <v>34</v>
      </c>
      <c r="J51" s="101" t="s">
        <v>34</v>
      </c>
      <c r="K51" s="101" t="s">
        <v>34</v>
      </c>
      <c r="L51" s="101" t="s">
        <v>34</v>
      </c>
      <c r="M51" s="101" t="s">
        <v>34</v>
      </c>
      <c r="N51" s="88" t="s">
        <v>36</v>
      </c>
      <c r="O51" s="104" t="e">
        <f>VLOOKUP(E51,'[2]STOCK  19.09.2017'!$F$6:$I$233,4,0)</f>
        <v>#N/A</v>
      </c>
    </row>
    <row r="52" spans="1:15" ht="18.75" customHeight="1">
      <c r="A52" s="85">
        <v>96</v>
      </c>
      <c r="B52" s="102" t="s">
        <v>33</v>
      </c>
      <c r="C52" s="86">
        <v>104532</v>
      </c>
      <c r="D52" s="87" t="s">
        <v>272</v>
      </c>
      <c r="E52" s="102">
        <v>50003671</v>
      </c>
      <c r="F52" s="103" t="s">
        <v>78</v>
      </c>
      <c r="G52" s="102"/>
      <c r="H52" s="101" t="s">
        <v>34</v>
      </c>
      <c r="I52" s="101" t="s">
        <v>34</v>
      </c>
      <c r="J52" s="101" t="s">
        <v>34</v>
      </c>
      <c r="K52" s="101" t="s">
        <v>34</v>
      </c>
      <c r="L52" s="101" t="s">
        <v>34</v>
      </c>
      <c r="M52" s="101" t="s">
        <v>34</v>
      </c>
      <c r="N52" s="88" t="s">
        <v>36</v>
      </c>
      <c r="O52" s="104" t="e">
        <f>VLOOKUP(E52,'[2]STOCK  19.09.2017'!$F$6:$I$233,4,0)</f>
        <v>#N/A</v>
      </c>
    </row>
    <row r="53" spans="1:15" ht="18.75" customHeight="1">
      <c r="A53" s="85">
        <v>97</v>
      </c>
      <c r="B53" s="102" t="s">
        <v>33</v>
      </c>
      <c r="C53" s="86">
        <v>104532</v>
      </c>
      <c r="D53" s="87" t="s">
        <v>272</v>
      </c>
      <c r="E53" s="102">
        <v>50003673</v>
      </c>
      <c r="F53" s="103" t="s">
        <v>79</v>
      </c>
      <c r="G53" s="102"/>
      <c r="H53" s="101" t="s">
        <v>34</v>
      </c>
      <c r="I53" s="101" t="s">
        <v>34</v>
      </c>
      <c r="J53" s="101" t="s">
        <v>34</v>
      </c>
      <c r="K53" s="101" t="s">
        <v>34</v>
      </c>
      <c r="L53" s="101" t="s">
        <v>34</v>
      </c>
      <c r="M53" s="101" t="s">
        <v>34</v>
      </c>
      <c r="N53" s="88" t="s">
        <v>36</v>
      </c>
      <c r="O53" s="104">
        <f>VLOOKUP(E53,'[2]STOCK  19.09.2017'!$F$6:$I$233,4,0)</f>
        <v>500</v>
      </c>
    </row>
    <row r="54" spans="1:15" ht="18.75" customHeight="1">
      <c r="A54" s="85">
        <v>98</v>
      </c>
      <c r="B54" s="102" t="s">
        <v>33</v>
      </c>
      <c r="C54" s="86">
        <v>104532</v>
      </c>
      <c r="D54" s="87" t="s">
        <v>272</v>
      </c>
      <c r="E54" s="102">
        <v>50003674</v>
      </c>
      <c r="F54" s="103" t="s">
        <v>80</v>
      </c>
      <c r="G54" s="102"/>
      <c r="H54" s="101" t="s">
        <v>34</v>
      </c>
      <c r="I54" s="101" t="s">
        <v>34</v>
      </c>
      <c r="J54" s="101" t="s">
        <v>34</v>
      </c>
      <c r="K54" s="101" t="s">
        <v>34</v>
      </c>
      <c r="L54" s="101" t="s">
        <v>34</v>
      </c>
      <c r="M54" s="101" t="s">
        <v>34</v>
      </c>
      <c r="N54" s="88" t="s">
        <v>36</v>
      </c>
      <c r="O54" s="104" t="e">
        <f>VLOOKUP(E54,'[2]STOCK  19.09.2017'!$F$6:$I$233,4,0)</f>
        <v>#N/A</v>
      </c>
    </row>
    <row r="55" spans="1:15" ht="18.75" customHeight="1">
      <c r="A55" s="85">
        <v>99</v>
      </c>
      <c r="B55" s="102" t="s">
        <v>33</v>
      </c>
      <c r="C55" s="86">
        <v>104532</v>
      </c>
      <c r="D55" s="87" t="s">
        <v>272</v>
      </c>
      <c r="E55" s="102">
        <v>50003831</v>
      </c>
      <c r="F55" s="103" t="s">
        <v>81</v>
      </c>
      <c r="G55" s="102"/>
      <c r="H55" s="101" t="s">
        <v>34</v>
      </c>
      <c r="I55" s="101" t="s">
        <v>34</v>
      </c>
      <c r="J55" s="101" t="s">
        <v>34</v>
      </c>
      <c r="K55" s="101" t="s">
        <v>34</v>
      </c>
      <c r="L55" s="101" t="s">
        <v>34</v>
      </c>
      <c r="M55" s="101" t="s">
        <v>34</v>
      </c>
      <c r="N55" s="88" t="s">
        <v>36</v>
      </c>
      <c r="O55" s="104" t="e">
        <f>VLOOKUP(E55,'[2]STOCK  19.09.2017'!$F$6:$I$233,4,0)</f>
        <v>#N/A</v>
      </c>
    </row>
    <row r="56" spans="1:15" ht="18.75" customHeight="1">
      <c r="A56" s="85">
        <v>100</v>
      </c>
      <c r="B56" s="102" t="s">
        <v>33</v>
      </c>
      <c r="C56" s="86">
        <v>104532</v>
      </c>
      <c r="D56" s="87" t="s">
        <v>272</v>
      </c>
      <c r="E56" s="102">
        <v>50003835</v>
      </c>
      <c r="F56" s="103" t="s">
        <v>82</v>
      </c>
      <c r="G56" s="102"/>
      <c r="H56" s="101" t="s">
        <v>34</v>
      </c>
      <c r="I56" s="101" t="s">
        <v>34</v>
      </c>
      <c r="J56" s="101" t="s">
        <v>34</v>
      </c>
      <c r="K56" s="101" t="s">
        <v>34</v>
      </c>
      <c r="L56" s="101" t="s">
        <v>34</v>
      </c>
      <c r="M56" s="101" t="s">
        <v>34</v>
      </c>
      <c r="N56" s="88" t="s">
        <v>36</v>
      </c>
      <c r="O56" s="104" t="e">
        <f>VLOOKUP(E56,'[2]STOCK  19.09.2017'!$F$6:$I$233,4,0)</f>
        <v>#N/A</v>
      </c>
    </row>
    <row r="57" spans="1:15" ht="18.75" customHeight="1">
      <c r="A57" s="85">
        <v>101</v>
      </c>
      <c r="B57" s="102" t="s">
        <v>33</v>
      </c>
      <c r="C57" s="86">
        <v>104532</v>
      </c>
      <c r="D57" s="87" t="s">
        <v>272</v>
      </c>
      <c r="E57" s="102">
        <v>50003862</v>
      </c>
      <c r="F57" s="103" t="s">
        <v>83</v>
      </c>
      <c r="G57" s="102"/>
      <c r="H57" s="101" t="s">
        <v>34</v>
      </c>
      <c r="I57" s="101" t="s">
        <v>34</v>
      </c>
      <c r="J57" s="101" t="s">
        <v>34</v>
      </c>
      <c r="K57" s="101" t="s">
        <v>34</v>
      </c>
      <c r="L57" s="101" t="s">
        <v>34</v>
      </c>
      <c r="M57" s="101" t="s">
        <v>34</v>
      </c>
      <c r="N57" s="88" t="s">
        <v>36</v>
      </c>
      <c r="O57" s="104" t="e">
        <f>VLOOKUP(E57,'[2]STOCK  19.09.2017'!$F$6:$I$233,4,0)</f>
        <v>#N/A</v>
      </c>
    </row>
    <row r="58" spans="1:15" ht="18.75" customHeight="1">
      <c r="A58" s="85">
        <v>102</v>
      </c>
      <c r="B58" s="102" t="s">
        <v>33</v>
      </c>
      <c r="C58" s="86">
        <v>104532</v>
      </c>
      <c r="D58" s="87" t="s">
        <v>272</v>
      </c>
      <c r="E58" s="102">
        <v>50004286</v>
      </c>
      <c r="F58" s="103" t="s">
        <v>84</v>
      </c>
      <c r="G58" s="102"/>
      <c r="H58" s="101" t="s">
        <v>34</v>
      </c>
      <c r="I58" s="101" t="s">
        <v>34</v>
      </c>
      <c r="J58" s="101" t="s">
        <v>34</v>
      </c>
      <c r="K58" s="101" t="s">
        <v>34</v>
      </c>
      <c r="L58" s="101" t="s">
        <v>34</v>
      </c>
      <c r="M58" s="101" t="s">
        <v>34</v>
      </c>
      <c r="N58" s="88" t="s">
        <v>36</v>
      </c>
      <c r="O58" s="104" t="e">
        <f>VLOOKUP(E58,'[2]STOCK  19.09.2017'!$F$6:$I$233,4,0)</f>
        <v>#N/A</v>
      </c>
    </row>
    <row r="59" spans="1:15" ht="18.75" customHeight="1">
      <c r="A59" s="85">
        <v>103</v>
      </c>
      <c r="B59" s="102" t="s">
        <v>33</v>
      </c>
      <c r="C59" s="86">
        <v>104532</v>
      </c>
      <c r="D59" s="87" t="s">
        <v>272</v>
      </c>
      <c r="E59" s="102">
        <v>50004400</v>
      </c>
      <c r="F59" s="103" t="s">
        <v>85</v>
      </c>
      <c r="G59" s="102"/>
      <c r="H59" s="101" t="s">
        <v>34</v>
      </c>
      <c r="I59" s="101" t="s">
        <v>34</v>
      </c>
      <c r="J59" s="101" t="s">
        <v>34</v>
      </c>
      <c r="K59" s="101" t="s">
        <v>34</v>
      </c>
      <c r="L59" s="101" t="s">
        <v>34</v>
      </c>
      <c r="M59" s="101" t="s">
        <v>34</v>
      </c>
      <c r="N59" s="88" t="s">
        <v>36</v>
      </c>
      <c r="O59" s="104" t="e">
        <f>VLOOKUP(E59,'[2]STOCK  19.09.2017'!$F$6:$I$233,4,0)</f>
        <v>#N/A</v>
      </c>
    </row>
    <row r="60" spans="1:15" ht="18.75" customHeight="1">
      <c r="A60" s="85">
        <v>104</v>
      </c>
      <c r="B60" s="102" t="s">
        <v>33</v>
      </c>
      <c r="C60" s="86">
        <v>104532</v>
      </c>
      <c r="D60" s="87" t="s">
        <v>272</v>
      </c>
      <c r="E60" s="102">
        <v>50004401</v>
      </c>
      <c r="F60" s="103" t="s">
        <v>86</v>
      </c>
      <c r="G60" s="102"/>
      <c r="H60" s="101" t="s">
        <v>34</v>
      </c>
      <c r="I60" s="101" t="s">
        <v>34</v>
      </c>
      <c r="J60" s="101" t="s">
        <v>34</v>
      </c>
      <c r="K60" s="101" t="s">
        <v>34</v>
      </c>
      <c r="L60" s="101" t="s">
        <v>34</v>
      </c>
      <c r="M60" s="101" t="s">
        <v>34</v>
      </c>
      <c r="N60" s="88" t="s">
        <v>36</v>
      </c>
      <c r="O60" s="104" t="e">
        <f>VLOOKUP(E60,'[2]STOCK  19.09.2017'!$F$6:$I$233,4,0)</f>
        <v>#N/A</v>
      </c>
    </row>
    <row r="61" spans="1:15" ht="18.75" customHeight="1">
      <c r="A61" s="85">
        <v>105</v>
      </c>
      <c r="B61" s="102" t="s">
        <v>33</v>
      </c>
      <c r="C61" s="86">
        <v>104532</v>
      </c>
      <c r="D61" s="87" t="s">
        <v>272</v>
      </c>
      <c r="E61" s="102">
        <v>50004402</v>
      </c>
      <c r="F61" s="103" t="s">
        <v>87</v>
      </c>
      <c r="G61" s="102"/>
      <c r="H61" s="101" t="s">
        <v>34</v>
      </c>
      <c r="I61" s="101" t="s">
        <v>34</v>
      </c>
      <c r="J61" s="101" t="s">
        <v>34</v>
      </c>
      <c r="K61" s="101" t="s">
        <v>34</v>
      </c>
      <c r="L61" s="101" t="s">
        <v>34</v>
      </c>
      <c r="M61" s="101" t="s">
        <v>34</v>
      </c>
      <c r="N61" s="88" t="s">
        <v>36</v>
      </c>
      <c r="O61" s="104" t="e">
        <f>VLOOKUP(E61,'[2]STOCK  19.09.2017'!$F$6:$I$233,4,0)</f>
        <v>#N/A</v>
      </c>
    </row>
    <row r="62" spans="1:15" ht="18.75" customHeight="1">
      <c r="A62" s="85">
        <v>106</v>
      </c>
      <c r="B62" s="102" t="s">
        <v>33</v>
      </c>
      <c r="C62" s="86">
        <v>104532</v>
      </c>
      <c r="D62" s="87" t="s">
        <v>272</v>
      </c>
      <c r="E62" s="102">
        <v>50004403</v>
      </c>
      <c r="F62" s="103" t="s">
        <v>88</v>
      </c>
      <c r="G62" s="102"/>
      <c r="H62" s="101" t="s">
        <v>34</v>
      </c>
      <c r="I62" s="101" t="s">
        <v>34</v>
      </c>
      <c r="J62" s="101" t="s">
        <v>34</v>
      </c>
      <c r="K62" s="101" t="s">
        <v>34</v>
      </c>
      <c r="L62" s="101" t="s">
        <v>34</v>
      </c>
      <c r="M62" s="101" t="s">
        <v>34</v>
      </c>
      <c r="N62" s="88" t="s">
        <v>36</v>
      </c>
      <c r="O62" s="104" t="e">
        <f>VLOOKUP(E62,'[2]STOCK  19.09.2017'!$F$6:$I$233,4,0)</f>
        <v>#N/A</v>
      </c>
    </row>
    <row r="63" spans="1:15" ht="18.75" customHeight="1">
      <c r="A63" s="85">
        <v>107</v>
      </c>
      <c r="B63" s="102" t="s">
        <v>33</v>
      </c>
      <c r="C63" s="86">
        <v>104532</v>
      </c>
      <c r="D63" s="87" t="s">
        <v>272</v>
      </c>
      <c r="E63" s="102">
        <v>50004654</v>
      </c>
      <c r="F63" s="103" t="s">
        <v>89</v>
      </c>
      <c r="G63" s="102"/>
      <c r="H63" s="101" t="s">
        <v>34</v>
      </c>
      <c r="I63" s="101" t="s">
        <v>34</v>
      </c>
      <c r="J63" s="101" t="s">
        <v>34</v>
      </c>
      <c r="K63" s="101" t="s">
        <v>34</v>
      </c>
      <c r="L63" s="101" t="s">
        <v>34</v>
      </c>
      <c r="M63" s="101" t="s">
        <v>34</v>
      </c>
      <c r="N63" s="88" t="s">
        <v>36</v>
      </c>
      <c r="O63" s="104">
        <f>VLOOKUP(E63,'[2]STOCK  19.09.2017'!$F$6:$I$233,4,0)</f>
        <v>50</v>
      </c>
    </row>
    <row r="64" spans="1:15" ht="18.75" customHeight="1">
      <c r="A64" s="85">
        <v>108</v>
      </c>
      <c r="B64" s="102" t="s">
        <v>33</v>
      </c>
      <c r="C64" s="86">
        <v>104532</v>
      </c>
      <c r="D64" s="87" t="s">
        <v>272</v>
      </c>
      <c r="E64" s="102">
        <v>50008038</v>
      </c>
      <c r="F64" s="103" t="s">
        <v>90</v>
      </c>
      <c r="G64" s="102"/>
      <c r="H64" s="101">
        <v>8000</v>
      </c>
      <c r="I64" s="101">
        <v>12000</v>
      </c>
      <c r="J64" s="101">
        <v>6500</v>
      </c>
      <c r="K64" s="101" t="s">
        <v>34</v>
      </c>
      <c r="L64" s="101" t="s">
        <v>34</v>
      </c>
      <c r="M64" s="101" t="s">
        <v>34</v>
      </c>
      <c r="N64" s="88" t="s">
        <v>36</v>
      </c>
      <c r="O64" s="104">
        <f>VLOOKUP(E64,'[2]STOCK  19.09.2017'!$F$6:$I$233,4,0)</f>
        <v>1500</v>
      </c>
    </row>
    <row r="65" spans="1:15" ht="18.75" customHeight="1">
      <c r="A65" s="85">
        <v>109</v>
      </c>
      <c r="B65" s="102" t="s">
        <v>33</v>
      </c>
      <c r="C65" s="86">
        <v>104532</v>
      </c>
      <c r="D65" s="87" t="s">
        <v>272</v>
      </c>
      <c r="E65" s="102">
        <v>50008230</v>
      </c>
      <c r="F65" s="103" t="s">
        <v>91</v>
      </c>
      <c r="G65" s="102"/>
      <c r="H65" s="101" t="s">
        <v>34</v>
      </c>
      <c r="I65" s="101" t="s">
        <v>34</v>
      </c>
      <c r="J65" s="101" t="s">
        <v>34</v>
      </c>
      <c r="K65" s="101" t="s">
        <v>34</v>
      </c>
      <c r="L65" s="101" t="s">
        <v>34</v>
      </c>
      <c r="M65" s="101" t="s">
        <v>34</v>
      </c>
      <c r="N65" s="88" t="s">
        <v>36</v>
      </c>
      <c r="O65" s="104">
        <f>VLOOKUP(E65,'[2]STOCK  19.09.2017'!$F$6:$I$233,4,0)</f>
        <v>220</v>
      </c>
    </row>
    <row r="66" spans="1:15" ht="18.75" customHeight="1">
      <c r="A66" s="85">
        <v>110</v>
      </c>
      <c r="B66" s="102" t="s">
        <v>33</v>
      </c>
      <c r="C66" s="86">
        <v>104532</v>
      </c>
      <c r="D66" s="87" t="s">
        <v>272</v>
      </c>
      <c r="E66" s="102">
        <v>50009155</v>
      </c>
      <c r="F66" s="103" t="s">
        <v>92</v>
      </c>
      <c r="G66" s="102"/>
      <c r="H66" s="101" t="s">
        <v>34</v>
      </c>
      <c r="I66" s="101" t="s">
        <v>34</v>
      </c>
      <c r="J66" s="101" t="s">
        <v>34</v>
      </c>
      <c r="K66" s="101" t="s">
        <v>34</v>
      </c>
      <c r="L66" s="101" t="s">
        <v>34</v>
      </c>
      <c r="M66" s="101" t="s">
        <v>34</v>
      </c>
      <c r="N66" s="88" t="s">
        <v>36</v>
      </c>
      <c r="O66" s="104" t="e">
        <f>VLOOKUP(E66,'[2]STOCK  19.09.2017'!$F$6:$I$233,4,0)</f>
        <v>#N/A</v>
      </c>
    </row>
    <row r="67" spans="1:15" ht="18.75" customHeight="1">
      <c r="A67" s="85">
        <v>111</v>
      </c>
      <c r="B67" s="102" t="s">
        <v>33</v>
      </c>
      <c r="C67" s="86">
        <v>104532</v>
      </c>
      <c r="D67" s="87" t="s">
        <v>272</v>
      </c>
      <c r="E67" s="102">
        <v>50010331</v>
      </c>
      <c r="F67" s="103" t="s">
        <v>423</v>
      </c>
      <c r="G67" s="102"/>
      <c r="H67" s="101" t="s">
        <v>34</v>
      </c>
      <c r="I67" s="101" t="s">
        <v>34</v>
      </c>
      <c r="J67" s="101" t="s">
        <v>34</v>
      </c>
      <c r="K67" s="101" t="s">
        <v>34</v>
      </c>
      <c r="L67" s="101" t="s">
        <v>34</v>
      </c>
      <c r="M67" s="101" t="s">
        <v>34</v>
      </c>
      <c r="N67" s="88" t="s">
        <v>36</v>
      </c>
      <c r="O67" s="104" t="e">
        <f>VLOOKUP(E67,'[2]STOCK  19.09.2017'!$F$6:$I$233,4,0)</f>
        <v>#N/A</v>
      </c>
    </row>
    <row r="68" spans="1:15" ht="18.75" customHeight="1">
      <c r="A68" s="85">
        <v>112</v>
      </c>
      <c r="B68" s="102" t="s">
        <v>33</v>
      </c>
      <c r="C68" s="86">
        <v>104532</v>
      </c>
      <c r="D68" s="87" t="s">
        <v>272</v>
      </c>
      <c r="E68" s="102">
        <v>50010332</v>
      </c>
      <c r="F68" s="103" t="s">
        <v>93</v>
      </c>
      <c r="G68" s="102"/>
      <c r="H68" s="101" t="s">
        <v>34</v>
      </c>
      <c r="I68" s="101" t="s">
        <v>34</v>
      </c>
      <c r="J68" s="101" t="s">
        <v>34</v>
      </c>
      <c r="K68" s="101" t="s">
        <v>34</v>
      </c>
      <c r="L68" s="101" t="s">
        <v>34</v>
      </c>
      <c r="M68" s="101" t="s">
        <v>34</v>
      </c>
      <c r="N68" s="88" t="s">
        <v>36</v>
      </c>
      <c r="O68" s="104" t="e">
        <f>VLOOKUP(E68,'[2]STOCK  19.09.2017'!$F$6:$I$233,4,0)</f>
        <v>#N/A</v>
      </c>
    </row>
    <row r="69" spans="1:15" ht="18.75" customHeight="1">
      <c r="A69" s="85">
        <v>113</v>
      </c>
      <c r="B69" s="102" t="s">
        <v>33</v>
      </c>
      <c r="C69" s="86">
        <v>104532</v>
      </c>
      <c r="D69" s="87" t="s">
        <v>272</v>
      </c>
      <c r="E69" s="102">
        <v>50010334</v>
      </c>
      <c r="F69" s="103" t="s">
        <v>424</v>
      </c>
      <c r="G69" s="102"/>
      <c r="H69" s="101" t="s">
        <v>34</v>
      </c>
      <c r="I69" s="101" t="s">
        <v>34</v>
      </c>
      <c r="J69" s="101" t="s">
        <v>34</v>
      </c>
      <c r="K69" s="101" t="s">
        <v>34</v>
      </c>
      <c r="L69" s="101" t="s">
        <v>34</v>
      </c>
      <c r="M69" s="101" t="s">
        <v>34</v>
      </c>
      <c r="N69" s="88" t="s">
        <v>36</v>
      </c>
      <c r="O69" s="104" t="e">
        <f>VLOOKUP(E69,'[2]STOCK  19.09.2017'!$F$6:$I$233,4,0)</f>
        <v>#N/A</v>
      </c>
    </row>
    <row r="70" spans="1:15" ht="18.75" customHeight="1">
      <c r="A70" s="85">
        <v>114</v>
      </c>
      <c r="B70" s="102" t="s">
        <v>33</v>
      </c>
      <c r="C70" s="86">
        <v>104532</v>
      </c>
      <c r="D70" s="87" t="s">
        <v>272</v>
      </c>
      <c r="E70" s="102">
        <v>50011461</v>
      </c>
      <c r="F70" s="103" t="s">
        <v>94</v>
      </c>
      <c r="G70" s="102"/>
      <c r="H70" s="101" t="s">
        <v>34</v>
      </c>
      <c r="I70" s="101" t="s">
        <v>34</v>
      </c>
      <c r="J70" s="101" t="s">
        <v>34</v>
      </c>
      <c r="K70" s="101" t="s">
        <v>34</v>
      </c>
      <c r="L70" s="101" t="s">
        <v>34</v>
      </c>
      <c r="M70" s="101" t="s">
        <v>34</v>
      </c>
      <c r="N70" s="88" t="s">
        <v>36</v>
      </c>
      <c r="O70" s="104" t="e">
        <f>VLOOKUP(E70,'[2]STOCK  19.09.2017'!$F$6:$I$233,4,0)</f>
        <v>#N/A</v>
      </c>
    </row>
    <row r="71" spans="1:15" ht="18.75" customHeight="1">
      <c r="A71" s="85">
        <v>115</v>
      </c>
      <c r="B71" s="102" t="s">
        <v>33</v>
      </c>
      <c r="C71" s="86">
        <v>104532</v>
      </c>
      <c r="D71" s="87" t="s">
        <v>272</v>
      </c>
      <c r="E71" s="102">
        <v>50011462</v>
      </c>
      <c r="F71" s="103" t="s">
        <v>95</v>
      </c>
      <c r="G71" s="102"/>
      <c r="H71" s="101" t="s">
        <v>34</v>
      </c>
      <c r="I71" s="101" t="s">
        <v>34</v>
      </c>
      <c r="J71" s="101" t="s">
        <v>34</v>
      </c>
      <c r="K71" s="101" t="s">
        <v>34</v>
      </c>
      <c r="L71" s="101" t="s">
        <v>34</v>
      </c>
      <c r="M71" s="101" t="s">
        <v>34</v>
      </c>
      <c r="N71" s="88" t="s">
        <v>36</v>
      </c>
      <c r="O71" s="104" t="e">
        <f>VLOOKUP(E71,'[2]STOCK  19.09.2017'!$F$6:$I$233,4,0)</f>
        <v>#N/A</v>
      </c>
    </row>
    <row r="72" spans="1:15" ht="18.75" customHeight="1">
      <c r="A72" s="85">
        <v>116</v>
      </c>
      <c r="B72" s="102" t="s">
        <v>33</v>
      </c>
      <c r="C72" s="86">
        <v>104532</v>
      </c>
      <c r="D72" s="87" t="s">
        <v>272</v>
      </c>
      <c r="E72" s="102">
        <v>50011803</v>
      </c>
      <c r="F72" s="103" t="s">
        <v>96</v>
      </c>
      <c r="G72" s="102"/>
      <c r="H72" s="101" t="s">
        <v>34</v>
      </c>
      <c r="I72" s="101" t="s">
        <v>34</v>
      </c>
      <c r="J72" s="101" t="s">
        <v>34</v>
      </c>
      <c r="K72" s="101" t="s">
        <v>34</v>
      </c>
      <c r="L72" s="101" t="s">
        <v>34</v>
      </c>
      <c r="M72" s="101" t="s">
        <v>34</v>
      </c>
      <c r="N72" s="88" t="s">
        <v>36</v>
      </c>
      <c r="O72" s="104">
        <f>VLOOKUP(E72,'[2]STOCK  19.09.2017'!$F$6:$I$233,4,0)</f>
        <v>54</v>
      </c>
    </row>
    <row r="73" spans="1:15" ht="18.75" customHeight="1">
      <c r="A73" s="85">
        <v>117</v>
      </c>
      <c r="B73" s="102" t="s">
        <v>33</v>
      </c>
      <c r="C73" s="86">
        <v>104532</v>
      </c>
      <c r="D73" s="87" t="s">
        <v>272</v>
      </c>
      <c r="E73" s="102">
        <v>50011925</v>
      </c>
      <c r="F73" s="103" t="s">
        <v>97</v>
      </c>
      <c r="G73" s="102"/>
      <c r="H73" s="101" t="s">
        <v>34</v>
      </c>
      <c r="I73" s="101" t="s">
        <v>34</v>
      </c>
      <c r="J73" s="101" t="s">
        <v>34</v>
      </c>
      <c r="K73" s="101" t="s">
        <v>34</v>
      </c>
      <c r="L73" s="101" t="s">
        <v>34</v>
      </c>
      <c r="M73" s="101" t="s">
        <v>34</v>
      </c>
      <c r="N73" s="88" t="s">
        <v>36</v>
      </c>
      <c r="O73" s="104" t="e">
        <f>VLOOKUP(E73,'[2]STOCK  19.09.2017'!$F$6:$I$233,4,0)</f>
        <v>#N/A</v>
      </c>
    </row>
    <row r="74" spans="1:15" ht="18.75" customHeight="1">
      <c r="A74" s="85">
        <v>118</v>
      </c>
      <c r="B74" s="102" t="s">
        <v>33</v>
      </c>
      <c r="C74" s="86">
        <v>104532</v>
      </c>
      <c r="D74" s="87" t="s">
        <v>272</v>
      </c>
      <c r="E74" s="102">
        <v>50011926</v>
      </c>
      <c r="F74" s="103" t="s">
        <v>98</v>
      </c>
      <c r="G74" s="102"/>
      <c r="H74" s="101" t="s">
        <v>34</v>
      </c>
      <c r="I74" s="101" t="s">
        <v>34</v>
      </c>
      <c r="J74" s="101" t="s">
        <v>34</v>
      </c>
      <c r="K74" s="101" t="s">
        <v>34</v>
      </c>
      <c r="L74" s="101" t="s">
        <v>34</v>
      </c>
      <c r="M74" s="101" t="s">
        <v>34</v>
      </c>
      <c r="N74" s="88" t="s">
        <v>36</v>
      </c>
      <c r="O74" s="104" t="e">
        <f>VLOOKUP(E74,'[2]STOCK  19.09.2017'!$F$6:$I$233,4,0)</f>
        <v>#N/A</v>
      </c>
    </row>
    <row r="75" spans="1:15" ht="18.75" customHeight="1">
      <c r="A75" s="85">
        <v>119</v>
      </c>
      <c r="B75" s="102" t="s">
        <v>33</v>
      </c>
      <c r="C75" s="86">
        <v>104532</v>
      </c>
      <c r="D75" s="87" t="s">
        <v>272</v>
      </c>
      <c r="E75" s="90">
        <v>50013205</v>
      </c>
      <c r="F75" s="105" t="s">
        <v>99</v>
      </c>
      <c r="G75" s="102"/>
      <c r="H75" s="101" t="s">
        <v>34</v>
      </c>
      <c r="I75" s="101" t="s">
        <v>34</v>
      </c>
      <c r="J75" s="101" t="s">
        <v>34</v>
      </c>
      <c r="K75" s="101" t="s">
        <v>34</v>
      </c>
      <c r="L75" s="101" t="s">
        <v>34</v>
      </c>
      <c r="M75" s="101" t="s">
        <v>34</v>
      </c>
      <c r="N75" s="88" t="s">
        <v>36</v>
      </c>
      <c r="O75" s="104">
        <f>VLOOKUP(E75,'[2]STOCK  19.09.2017'!$F$6:$I$233,4,0)</f>
        <v>500</v>
      </c>
    </row>
    <row r="76" spans="1:15" ht="18.75" customHeight="1">
      <c r="A76" s="85">
        <v>121</v>
      </c>
      <c r="B76" s="102" t="s">
        <v>33</v>
      </c>
      <c r="C76" s="86">
        <v>104532</v>
      </c>
      <c r="D76" s="87" t="s">
        <v>272</v>
      </c>
      <c r="E76" s="90">
        <v>50015851</v>
      </c>
      <c r="F76" s="105" t="s">
        <v>425</v>
      </c>
      <c r="G76" s="102"/>
      <c r="H76" s="101">
        <v>100</v>
      </c>
      <c r="I76" s="101">
        <v>200</v>
      </c>
      <c r="J76" s="101">
        <v>150</v>
      </c>
      <c r="K76" s="101">
        <v>50</v>
      </c>
      <c r="L76" s="101">
        <v>50</v>
      </c>
      <c r="M76" s="101">
        <v>50</v>
      </c>
      <c r="N76" s="88" t="s">
        <v>36</v>
      </c>
      <c r="O76" s="104" t="e">
        <f>VLOOKUP(E76,'[2]STOCK  19.09.2017'!$F$6:$I$233,4,0)</f>
        <v>#N/A</v>
      </c>
    </row>
    <row r="77" spans="1:15" ht="18.75" customHeight="1">
      <c r="A77" s="85">
        <v>122</v>
      </c>
      <c r="B77" s="102" t="s">
        <v>33</v>
      </c>
      <c r="C77" s="86">
        <v>104532</v>
      </c>
      <c r="D77" s="87" t="s">
        <v>272</v>
      </c>
      <c r="E77" s="102">
        <v>50020941</v>
      </c>
      <c r="F77" s="103" t="s">
        <v>302</v>
      </c>
      <c r="G77" s="102"/>
      <c r="H77" s="101" t="s">
        <v>34</v>
      </c>
      <c r="I77" s="101" t="s">
        <v>34</v>
      </c>
      <c r="J77" s="101" t="s">
        <v>34</v>
      </c>
      <c r="K77" s="101" t="s">
        <v>34</v>
      </c>
      <c r="L77" s="101" t="s">
        <v>34</v>
      </c>
      <c r="M77" s="101" t="s">
        <v>34</v>
      </c>
      <c r="N77" s="88" t="s">
        <v>36</v>
      </c>
      <c r="O77" s="104" t="e">
        <f>VLOOKUP(E77,'[2]STOCK  19.09.2017'!$F$6:$I$233,4,0)</f>
        <v>#N/A</v>
      </c>
    </row>
    <row r="78" spans="1:15" ht="18.75" customHeight="1">
      <c r="A78" s="85">
        <v>123</v>
      </c>
      <c r="B78" s="102" t="s">
        <v>33</v>
      </c>
      <c r="C78" s="86">
        <v>104532</v>
      </c>
      <c r="D78" s="87" t="s">
        <v>272</v>
      </c>
      <c r="E78" s="102">
        <v>50021176</v>
      </c>
      <c r="F78" s="103" t="s">
        <v>426</v>
      </c>
      <c r="G78" s="102"/>
      <c r="H78" s="101" t="s">
        <v>34</v>
      </c>
      <c r="I78" s="101" t="s">
        <v>34</v>
      </c>
      <c r="J78" s="101" t="s">
        <v>34</v>
      </c>
      <c r="K78" s="101" t="s">
        <v>34</v>
      </c>
      <c r="L78" s="101" t="s">
        <v>34</v>
      </c>
      <c r="M78" s="101" t="s">
        <v>34</v>
      </c>
      <c r="N78" s="88" t="s">
        <v>36</v>
      </c>
      <c r="O78" s="104" t="e">
        <f>VLOOKUP(E78,'[2]STOCK  19.09.2017'!$F$6:$I$233,4,0)</f>
        <v>#N/A</v>
      </c>
    </row>
    <row r="79" spans="1:15" ht="18.75" customHeight="1">
      <c r="A79" s="85">
        <v>124</v>
      </c>
      <c r="B79" s="102" t="s">
        <v>33</v>
      </c>
      <c r="C79" s="86">
        <v>104532</v>
      </c>
      <c r="D79" s="87" t="s">
        <v>272</v>
      </c>
      <c r="E79" s="102">
        <v>50021177</v>
      </c>
      <c r="F79" s="91" t="s">
        <v>427</v>
      </c>
      <c r="G79" s="102"/>
      <c r="H79" s="101" t="s">
        <v>34</v>
      </c>
      <c r="I79" s="101" t="s">
        <v>34</v>
      </c>
      <c r="J79" s="101" t="s">
        <v>34</v>
      </c>
      <c r="K79" s="101" t="s">
        <v>34</v>
      </c>
      <c r="L79" s="101" t="s">
        <v>34</v>
      </c>
      <c r="M79" s="101" t="s">
        <v>34</v>
      </c>
      <c r="N79" s="88" t="s">
        <v>36</v>
      </c>
      <c r="O79" s="104" t="e">
        <f>VLOOKUP(E79,'[2]STOCK  19.09.2017'!$F$6:$I$233,4,0)</f>
        <v>#N/A</v>
      </c>
    </row>
    <row r="80" spans="1:15" ht="18.75" customHeight="1">
      <c r="A80" s="85">
        <v>125</v>
      </c>
      <c r="B80" s="102" t="s">
        <v>33</v>
      </c>
      <c r="C80" s="86">
        <v>104532</v>
      </c>
      <c r="D80" s="87" t="s">
        <v>272</v>
      </c>
      <c r="E80" s="102">
        <v>50021273</v>
      </c>
      <c r="F80" s="103" t="s">
        <v>306</v>
      </c>
      <c r="G80" s="102"/>
      <c r="H80" s="101" t="s">
        <v>34</v>
      </c>
      <c r="I80" s="101" t="s">
        <v>34</v>
      </c>
      <c r="J80" s="101" t="s">
        <v>34</v>
      </c>
      <c r="K80" s="101" t="s">
        <v>34</v>
      </c>
      <c r="L80" s="101" t="s">
        <v>34</v>
      </c>
      <c r="M80" s="101" t="s">
        <v>34</v>
      </c>
      <c r="N80" s="88" t="s">
        <v>36</v>
      </c>
      <c r="O80" s="104" t="e">
        <f>VLOOKUP(E80,'[2]STOCK  19.09.2017'!$F$6:$I$233,4,0)</f>
        <v>#N/A</v>
      </c>
    </row>
    <row r="81" spans="1:15" ht="18.75" customHeight="1">
      <c r="A81" s="85">
        <v>126</v>
      </c>
      <c r="B81" s="102" t="s">
        <v>33</v>
      </c>
      <c r="C81" s="86">
        <v>104532</v>
      </c>
      <c r="D81" s="87" t="s">
        <v>272</v>
      </c>
      <c r="E81" s="102">
        <v>50021274</v>
      </c>
      <c r="F81" s="103" t="s">
        <v>307</v>
      </c>
      <c r="G81" s="102"/>
      <c r="H81" s="101" t="s">
        <v>34</v>
      </c>
      <c r="I81" s="101" t="s">
        <v>34</v>
      </c>
      <c r="J81" s="101" t="s">
        <v>34</v>
      </c>
      <c r="K81" s="101" t="s">
        <v>34</v>
      </c>
      <c r="L81" s="101" t="s">
        <v>34</v>
      </c>
      <c r="M81" s="101" t="s">
        <v>34</v>
      </c>
      <c r="N81" s="88" t="s">
        <v>36</v>
      </c>
      <c r="O81" s="104" t="e">
        <f>VLOOKUP(E81,'[2]STOCK  19.09.2017'!$F$6:$I$233,4,0)</f>
        <v>#N/A</v>
      </c>
    </row>
    <row r="82" spans="1:15" ht="18.75" customHeight="1">
      <c r="A82" s="85">
        <v>127</v>
      </c>
      <c r="B82" s="102" t="s">
        <v>33</v>
      </c>
      <c r="C82" s="86">
        <v>104532</v>
      </c>
      <c r="D82" s="87" t="s">
        <v>272</v>
      </c>
      <c r="E82" s="102">
        <v>50021764</v>
      </c>
      <c r="F82" s="103" t="s">
        <v>316</v>
      </c>
      <c r="G82" s="102"/>
      <c r="H82" s="101">
        <v>6000</v>
      </c>
      <c r="I82" s="101">
        <v>6000</v>
      </c>
      <c r="J82" s="101">
        <v>4000</v>
      </c>
      <c r="K82" s="101" t="s">
        <v>34</v>
      </c>
      <c r="L82" s="101" t="s">
        <v>34</v>
      </c>
      <c r="M82" s="101" t="s">
        <v>34</v>
      </c>
      <c r="N82" s="88" t="s">
        <v>36</v>
      </c>
      <c r="O82" s="104">
        <f>VLOOKUP(E82,'[2]STOCK  19.09.2017'!$F$6:$I$233,4,0)</f>
        <v>800</v>
      </c>
    </row>
    <row r="83" spans="1:15" ht="18.75" customHeight="1">
      <c r="A83" s="85">
        <v>128</v>
      </c>
      <c r="B83" s="102" t="s">
        <v>33</v>
      </c>
      <c r="C83" s="86">
        <v>104532</v>
      </c>
      <c r="D83" s="87" t="s">
        <v>272</v>
      </c>
      <c r="E83" s="102">
        <v>50021765</v>
      </c>
      <c r="F83" s="103" t="s">
        <v>317</v>
      </c>
      <c r="G83" s="102"/>
      <c r="H83" s="101">
        <v>6000</v>
      </c>
      <c r="I83" s="101">
        <v>6000</v>
      </c>
      <c r="J83" s="101">
        <v>4000</v>
      </c>
      <c r="K83" s="101" t="s">
        <v>34</v>
      </c>
      <c r="L83" s="101" t="s">
        <v>34</v>
      </c>
      <c r="M83" s="101" t="s">
        <v>34</v>
      </c>
      <c r="N83" s="88" t="s">
        <v>36</v>
      </c>
      <c r="O83" s="104">
        <f>VLOOKUP(E83,'[2]STOCK  19.09.2017'!$F$6:$I$233,4,0)</f>
        <v>800</v>
      </c>
    </row>
    <row r="84" spans="1:15" ht="18.75" customHeight="1">
      <c r="A84" s="85">
        <v>129</v>
      </c>
      <c r="B84" s="102" t="s">
        <v>33</v>
      </c>
      <c r="C84" s="86">
        <v>104532</v>
      </c>
      <c r="D84" s="87" t="s">
        <v>272</v>
      </c>
      <c r="E84" s="102">
        <v>50022281</v>
      </c>
      <c r="F84" s="92" t="s">
        <v>391</v>
      </c>
      <c r="G84" s="102" t="s">
        <v>280</v>
      </c>
      <c r="H84" s="101" t="s">
        <v>34</v>
      </c>
      <c r="I84" s="101" t="s">
        <v>34</v>
      </c>
      <c r="J84" s="101" t="s">
        <v>34</v>
      </c>
      <c r="K84" s="101" t="s">
        <v>34</v>
      </c>
      <c r="L84" s="101" t="s">
        <v>34</v>
      </c>
      <c r="M84" s="101" t="s">
        <v>34</v>
      </c>
      <c r="N84" s="88" t="s">
        <v>36</v>
      </c>
      <c r="O84" s="104" t="e">
        <f>VLOOKUP(E84,'[2]STOCK  19.09.2017'!$F$6:$I$233,4,0)</f>
        <v>#N/A</v>
      </c>
    </row>
    <row r="85" spans="1:15" ht="18.75" customHeight="1">
      <c r="A85" s="85">
        <v>130</v>
      </c>
      <c r="B85" s="102" t="s">
        <v>33</v>
      </c>
      <c r="C85" s="86">
        <v>104532</v>
      </c>
      <c r="D85" s="87" t="s">
        <v>272</v>
      </c>
      <c r="E85" s="102">
        <v>50022282</v>
      </c>
      <c r="F85" s="92" t="s">
        <v>392</v>
      </c>
      <c r="G85" s="102" t="s">
        <v>280</v>
      </c>
      <c r="H85" s="101" t="s">
        <v>34</v>
      </c>
      <c r="I85" s="101" t="s">
        <v>34</v>
      </c>
      <c r="J85" s="101" t="s">
        <v>34</v>
      </c>
      <c r="K85" s="101" t="s">
        <v>34</v>
      </c>
      <c r="L85" s="101" t="s">
        <v>34</v>
      </c>
      <c r="M85" s="101" t="s">
        <v>34</v>
      </c>
      <c r="N85" s="88" t="s">
        <v>36</v>
      </c>
      <c r="O85" s="104" t="e">
        <f>VLOOKUP(E85,'[2]STOCK  19.09.2017'!$F$6:$I$233,4,0)</f>
        <v>#N/A</v>
      </c>
    </row>
    <row r="86" spans="1:15" ht="18.75" customHeight="1">
      <c r="A86" s="85">
        <v>131</v>
      </c>
      <c r="B86" s="102" t="s">
        <v>33</v>
      </c>
      <c r="C86" s="86">
        <v>104532</v>
      </c>
      <c r="D86" s="87" t="s">
        <v>272</v>
      </c>
      <c r="E86" s="102">
        <v>50022283</v>
      </c>
      <c r="F86" s="92" t="s">
        <v>393</v>
      </c>
      <c r="G86" s="102" t="s">
        <v>346</v>
      </c>
      <c r="H86" s="101" t="s">
        <v>34</v>
      </c>
      <c r="I86" s="101" t="s">
        <v>34</v>
      </c>
      <c r="J86" s="101" t="s">
        <v>34</v>
      </c>
      <c r="K86" s="101" t="s">
        <v>34</v>
      </c>
      <c r="L86" s="101" t="s">
        <v>34</v>
      </c>
      <c r="M86" s="101" t="s">
        <v>34</v>
      </c>
      <c r="N86" s="88" t="s">
        <v>36</v>
      </c>
      <c r="O86" s="104" t="e">
        <f>VLOOKUP(E86,'[2]STOCK  19.09.2017'!$F$6:$I$233,4,0)</f>
        <v>#N/A</v>
      </c>
    </row>
    <row r="87" spans="1:15" ht="18.75" customHeight="1">
      <c r="A87" s="85">
        <v>132</v>
      </c>
      <c r="B87" s="102" t="s">
        <v>33</v>
      </c>
      <c r="C87" s="86">
        <v>104532</v>
      </c>
      <c r="D87" s="87" t="s">
        <v>272</v>
      </c>
      <c r="E87" s="102">
        <v>50022284</v>
      </c>
      <c r="F87" s="92" t="s">
        <v>394</v>
      </c>
      <c r="G87" s="102" t="s">
        <v>346</v>
      </c>
      <c r="H87" s="101" t="s">
        <v>34</v>
      </c>
      <c r="I87" s="101" t="s">
        <v>34</v>
      </c>
      <c r="J87" s="101" t="s">
        <v>34</v>
      </c>
      <c r="K87" s="101" t="s">
        <v>34</v>
      </c>
      <c r="L87" s="101" t="s">
        <v>34</v>
      </c>
      <c r="M87" s="101" t="s">
        <v>34</v>
      </c>
      <c r="N87" s="88" t="s">
        <v>36</v>
      </c>
      <c r="O87" s="104" t="e">
        <f>VLOOKUP(E87,'[2]STOCK  19.09.2017'!$F$6:$I$233,4,0)</f>
        <v>#N/A</v>
      </c>
    </row>
    <row r="88" spans="1:15" ht="18.75" customHeight="1">
      <c r="A88" s="85">
        <v>133</v>
      </c>
      <c r="B88" s="102" t="s">
        <v>33</v>
      </c>
      <c r="C88" s="86">
        <v>104532</v>
      </c>
      <c r="D88" s="87" t="s">
        <v>272</v>
      </c>
      <c r="E88" s="102">
        <v>50022285</v>
      </c>
      <c r="F88" s="92" t="s">
        <v>395</v>
      </c>
      <c r="G88" s="102" t="s">
        <v>347</v>
      </c>
      <c r="H88" s="101" t="s">
        <v>34</v>
      </c>
      <c r="I88" s="101" t="s">
        <v>34</v>
      </c>
      <c r="J88" s="101" t="s">
        <v>34</v>
      </c>
      <c r="K88" s="101" t="s">
        <v>34</v>
      </c>
      <c r="L88" s="101" t="s">
        <v>34</v>
      </c>
      <c r="M88" s="101" t="s">
        <v>34</v>
      </c>
      <c r="N88" s="88" t="s">
        <v>36</v>
      </c>
      <c r="O88" s="104" t="e">
        <f>VLOOKUP(E88,'[2]STOCK  19.09.2017'!$F$6:$I$233,4,0)</f>
        <v>#N/A</v>
      </c>
    </row>
    <row r="89" spans="1:15" ht="18.75" customHeight="1">
      <c r="A89" s="85">
        <v>134</v>
      </c>
      <c r="B89" s="102" t="s">
        <v>33</v>
      </c>
      <c r="C89" s="86">
        <v>104532</v>
      </c>
      <c r="D89" s="87" t="s">
        <v>272</v>
      </c>
      <c r="E89" s="102">
        <v>50022286</v>
      </c>
      <c r="F89" s="92" t="s">
        <v>396</v>
      </c>
      <c r="G89" s="102" t="s">
        <v>347</v>
      </c>
      <c r="H89" s="101">
        <v>300</v>
      </c>
      <c r="I89" s="101">
        <v>800</v>
      </c>
      <c r="J89" s="101">
        <v>700</v>
      </c>
      <c r="K89" s="101" t="s">
        <v>34</v>
      </c>
      <c r="L89" s="101" t="s">
        <v>34</v>
      </c>
      <c r="M89" s="101" t="s">
        <v>34</v>
      </c>
      <c r="N89" s="88" t="s">
        <v>36</v>
      </c>
      <c r="O89" s="104">
        <f>VLOOKUP(E89,'[2]STOCK  19.09.2017'!$F$6:$I$233,4,0)</f>
        <v>300</v>
      </c>
    </row>
    <row r="90" spans="1:15" ht="18.75" customHeight="1">
      <c r="A90" s="85">
        <v>135</v>
      </c>
      <c r="B90" s="102" t="s">
        <v>33</v>
      </c>
      <c r="C90" s="86">
        <v>104532</v>
      </c>
      <c r="D90" s="87" t="s">
        <v>272</v>
      </c>
      <c r="E90" s="102">
        <v>50022278</v>
      </c>
      <c r="F90" s="92" t="s">
        <v>397</v>
      </c>
      <c r="G90" s="103" t="s">
        <v>348</v>
      </c>
      <c r="H90" s="101" t="s">
        <v>34</v>
      </c>
      <c r="I90" s="101" t="s">
        <v>34</v>
      </c>
      <c r="J90" s="101" t="s">
        <v>34</v>
      </c>
      <c r="K90" s="101" t="s">
        <v>34</v>
      </c>
      <c r="L90" s="101" t="s">
        <v>34</v>
      </c>
      <c r="M90" s="101" t="s">
        <v>34</v>
      </c>
      <c r="N90" s="88" t="s">
        <v>36</v>
      </c>
      <c r="O90" s="104" t="e">
        <f>VLOOKUP(E90,'[2]STOCK  19.09.2017'!$F$6:$I$233,4,0)</f>
        <v>#N/A</v>
      </c>
    </row>
    <row r="91" spans="1:15" ht="18.75" customHeight="1">
      <c r="A91" s="85">
        <v>136</v>
      </c>
      <c r="B91" s="102" t="s">
        <v>33</v>
      </c>
      <c r="C91" s="86">
        <v>104532</v>
      </c>
      <c r="D91" s="87" t="s">
        <v>272</v>
      </c>
      <c r="E91" s="102">
        <v>50022332</v>
      </c>
      <c r="F91" s="92" t="s">
        <v>398</v>
      </c>
      <c r="G91" s="103" t="s">
        <v>348</v>
      </c>
      <c r="H91" s="101" t="s">
        <v>34</v>
      </c>
      <c r="I91" s="101" t="s">
        <v>34</v>
      </c>
      <c r="J91" s="101" t="s">
        <v>34</v>
      </c>
      <c r="K91" s="101" t="s">
        <v>34</v>
      </c>
      <c r="L91" s="101" t="s">
        <v>34</v>
      </c>
      <c r="M91" s="101" t="s">
        <v>34</v>
      </c>
      <c r="N91" s="88" t="s">
        <v>36</v>
      </c>
      <c r="O91" s="104">
        <f>VLOOKUP(E91,'[2]STOCK  19.09.2017'!$F$6:$I$233,4,0)</f>
        <v>0</v>
      </c>
    </row>
    <row r="92" spans="1:15" ht="18.75" customHeight="1">
      <c r="A92" s="85">
        <v>137</v>
      </c>
      <c r="B92" s="102" t="s">
        <v>33</v>
      </c>
      <c r="C92" s="86">
        <v>104532</v>
      </c>
      <c r="D92" s="87" t="s">
        <v>272</v>
      </c>
      <c r="E92" s="102">
        <v>50022279</v>
      </c>
      <c r="F92" s="92" t="s">
        <v>399</v>
      </c>
      <c r="G92" s="102" t="s">
        <v>349</v>
      </c>
      <c r="H92" s="101" t="s">
        <v>34</v>
      </c>
      <c r="I92" s="101" t="s">
        <v>34</v>
      </c>
      <c r="J92" s="101" t="s">
        <v>34</v>
      </c>
      <c r="K92" s="101" t="s">
        <v>34</v>
      </c>
      <c r="L92" s="101" t="s">
        <v>34</v>
      </c>
      <c r="M92" s="101" t="s">
        <v>34</v>
      </c>
      <c r="N92" s="88" t="s">
        <v>36</v>
      </c>
      <c r="O92" s="104" t="e">
        <f>VLOOKUP(E92,'[2]STOCK  19.09.2017'!$F$6:$I$233,4,0)</f>
        <v>#N/A</v>
      </c>
    </row>
    <row r="93" spans="1:15" ht="18.75" customHeight="1">
      <c r="A93" s="85">
        <v>138</v>
      </c>
      <c r="B93" s="102" t="s">
        <v>33</v>
      </c>
      <c r="C93" s="86">
        <v>104532</v>
      </c>
      <c r="D93" s="87" t="s">
        <v>272</v>
      </c>
      <c r="E93" s="102">
        <v>50022280</v>
      </c>
      <c r="F93" s="92" t="s">
        <v>400</v>
      </c>
      <c r="G93" s="102" t="s">
        <v>349</v>
      </c>
      <c r="H93" s="101" t="s">
        <v>34</v>
      </c>
      <c r="I93" s="101" t="s">
        <v>34</v>
      </c>
      <c r="J93" s="101" t="s">
        <v>34</v>
      </c>
      <c r="K93" s="101" t="s">
        <v>34</v>
      </c>
      <c r="L93" s="101" t="s">
        <v>34</v>
      </c>
      <c r="M93" s="101" t="s">
        <v>34</v>
      </c>
      <c r="N93" s="88" t="s">
        <v>36</v>
      </c>
      <c r="O93" s="104" t="e">
        <f>VLOOKUP(E93,'[2]STOCK  19.09.2017'!$F$6:$I$233,4,0)</f>
        <v>#N/A</v>
      </c>
    </row>
    <row r="94" spans="1:15" ht="18.75" customHeight="1">
      <c r="A94" s="85">
        <v>139</v>
      </c>
      <c r="B94" s="102" t="s">
        <v>33</v>
      </c>
      <c r="C94" s="86">
        <v>104532</v>
      </c>
      <c r="D94" s="87" t="s">
        <v>272</v>
      </c>
      <c r="E94" s="102">
        <v>50009683</v>
      </c>
      <c r="F94" s="103" t="s">
        <v>327</v>
      </c>
      <c r="G94" s="102" t="s">
        <v>349</v>
      </c>
      <c r="H94" s="101" t="s">
        <v>34</v>
      </c>
      <c r="I94" s="101" t="s">
        <v>34</v>
      </c>
      <c r="J94" s="101" t="s">
        <v>34</v>
      </c>
      <c r="K94" s="101" t="s">
        <v>34</v>
      </c>
      <c r="L94" s="101" t="s">
        <v>34</v>
      </c>
      <c r="M94" s="101" t="s">
        <v>34</v>
      </c>
      <c r="N94" s="88" t="s">
        <v>36</v>
      </c>
      <c r="O94" s="104" t="e">
        <f>VLOOKUP(E94,'[2]STOCK  19.09.2017'!$F$6:$I$233,4,0)</f>
        <v>#N/A</v>
      </c>
    </row>
    <row r="95" spans="1:15" ht="18.75" customHeight="1">
      <c r="A95" s="85">
        <v>140</v>
      </c>
      <c r="B95" s="102" t="s">
        <v>33</v>
      </c>
      <c r="C95" s="86">
        <v>104532</v>
      </c>
      <c r="D95" s="87" t="s">
        <v>272</v>
      </c>
      <c r="E95" s="102">
        <v>50022288</v>
      </c>
      <c r="F95" s="103" t="s">
        <v>401</v>
      </c>
      <c r="G95" s="102" t="s">
        <v>350</v>
      </c>
      <c r="H95" s="101">
        <v>6300</v>
      </c>
      <c r="I95" s="101">
        <v>6200</v>
      </c>
      <c r="J95" s="101">
        <v>5000</v>
      </c>
      <c r="K95" s="101" t="s">
        <v>34</v>
      </c>
      <c r="L95" s="101" t="s">
        <v>34</v>
      </c>
      <c r="M95" s="101" t="s">
        <v>34</v>
      </c>
      <c r="N95" s="88" t="s">
        <v>36</v>
      </c>
      <c r="O95" s="104">
        <f>VLOOKUP(E95,'[2]STOCK  19.09.2017'!$F$6:$I$233,4,0)</f>
        <v>1500</v>
      </c>
    </row>
    <row r="96" spans="1:15" ht="18.75" customHeight="1">
      <c r="A96" s="85">
        <v>141</v>
      </c>
      <c r="B96" s="102" t="s">
        <v>33</v>
      </c>
      <c r="C96" s="86">
        <v>104532</v>
      </c>
      <c r="D96" s="87" t="s">
        <v>272</v>
      </c>
      <c r="E96" s="102">
        <v>50022287</v>
      </c>
      <c r="F96" s="103" t="s">
        <v>402</v>
      </c>
      <c r="G96" s="102" t="s">
        <v>350</v>
      </c>
      <c r="H96" s="101">
        <v>6300</v>
      </c>
      <c r="I96" s="101">
        <v>6200</v>
      </c>
      <c r="J96" s="101">
        <v>5000</v>
      </c>
      <c r="K96" s="101" t="s">
        <v>34</v>
      </c>
      <c r="L96" s="101" t="s">
        <v>34</v>
      </c>
      <c r="M96" s="101" t="s">
        <v>34</v>
      </c>
      <c r="N96" s="88" t="s">
        <v>36</v>
      </c>
      <c r="O96" s="104">
        <f>VLOOKUP(E96,'[2]STOCK  19.09.2017'!$F$6:$I$233,4,0)</f>
        <v>1500</v>
      </c>
    </row>
    <row r="97" spans="1:15" ht="18.75" customHeight="1">
      <c r="A97" s="85">
        <v>142</v>
      </c>
      <c r="B97" s="102" t="s">
        <v>33</v>
      </c>
      <c r="C97" s="86">
        <v>104532</v>
      </c>
      <c r="D97" s="87" t="s">
        <v>272</v>
      </c>
      <c r="E97" s="102">
        <v>50022289</v>
      </c>
      <c r="F97" s="103" t="s">
        <v>403</v>
      </c>
      <c r="G97" s="102" t="s">
        <v>351</v>
      </c>
      <c r="H97" s="101">
        <v>500</v>
      </c>
      <c r="I97" s="101">
        <v>400</v>
      </c>
      <c r="J97" s="101">
        <v>200</v>
      </c>
      <c r="K97" s="101" t="s">
        <v>34</v>
      </c>
      <c r="L97" s="101" t="s">
        <v>34</v>
      </c>
      <c r="M97" s="101" t="s">
        <v>34</v>
      </c>
      <c r="N97" s="88" t="s">
        <v>36</v>
      </c>
      <c r="O97" s="104">
        <f>VLOOKUP(E97,'[2]STOCK  19.09.2017'!$F$6:$I$233,4,0)</f>
        <v>600</v>
      </c>
    </row>
    <row r="98" spans="1:15" ht="18.75" customHeight="1">
      <c r="A98" s="85">
        <v>143</v>
      </c>
      <c r="B98" s="102" t="s">
        <v>33</v>
      </c>
      <c r="C98" s="86">
        <v>104532</v>
      </c>
      <c r="D98" s="87" t="s">
        <v>272</v>
      </c>
      <c r="E98" s="102">
        <v>50022290</v>
      </c>
      <c r="F98" s="103" t="s">
        <v>404</v>
      </c>
      <c r="G98" s="102" t="s">
        <v>351</v>
      </c>
      <c r="H98" s="101">
        <v>500</v>
      </c>
      <c r="I98" s="101">
        <v>400</v>
      </c>
      <c r="J98" s="101">
        <v>200</v>
      </c>
      <c r="K98" s="101" t="s">
        <v>34</v>
      </c>
      <c r="L98" s="101" t="s">
        <v>34</v>
      </c>
      <c r="M98" s="101" t="s">
        <v>34</v>
      </c>
      <c r="N98" s="88" t="s">
        <v>36</v>
      </c>
      <c r="O98" s="104">
        <f>VLOOKUP(E98,'[2]STOCK  19.09.2017'!$F$6:$I$233,4,0)</f>
        <v>900</v>
      </c>
    </row>
    <row r="99" spans="1:15" ht="18.75" customHeight="1">
      <c r="A99" s="85">
        <v>144</v>
      </c>
      <c r="B99" s="102" t="s">
        <v>33</v>
      </c>
      <c r="C99" s="86">
        <v>104532</v>
      </c>
      <c r="D99" s="87" t="s">
        <v>272</v>
      </c>
      <c r="E99" s="102">
        <v>50022291</v>
      </c>
      <c r="F99" s="103" t="s">
        <v>405</v>
      </c>
      <c r="G99" s="102" t="s">
        <v>352</v>
      </c>
      <c r="H99" s="101">
        <v>3900</v>
      </c>
      <c r="I99" s="101">
        <v>4400</v>
      </c>
      <c r="J99" s="101">
        <v>4000</v>
      </c>
      <c r="K99" s="101" t="s">
        <v>34</v>
      </c>
      <c r="L99" s="101" t="s">
        <v>34</v>
      </c>
      <c r="M99" s="101" t="s">
        <v>34</v>
      </c>
      <c r="N99" s="88" t="s">
        <v>36</v>
      </c>
      <c r="O99" s="104">
        <f>VLOOKUP(E99,'[2]STOCK  19.09.2017'!$F$6:$I$233,4,0)</f>
        <v>2400</v>
      </c>
    </row>
    <row r="100" spans="1:15" ht="18.75" customHeight="1">
      <c r="A100" s="85">
        <v>145</v>
      </c>
      <c r="B100" s="102" t="s">
        <v>33</v>
      </c>
      <c r="C100" s="86">
        <v>104532</v>
      </c>
      <c r="D100" s="87" t="s">
        <v>272</v>
      </c>
      <c r="E100" s="102">
        <v>50022292</v>
      </c>
      <c r="F100" s="103" t="s">
        <v>406</v>
      </c>
      <c r="G100" s="102" t="s">
        <v>352</v>
      </c>
      <c r="H100" s="101">
        <v>3900</v>
      </c>
      <c r="I100" s="101">
        <v>4400</v>
      </c>
      <c r="J100" s="101">
        <v>4000</v>
      </c>
      <c r="K100" s="101" t="s">
        <v>34</v>
      </c>
      <c r="L100" s="101" t="s">
        <v>34</v>
      </c>
      <c r="M100" s="101" t="s">
        <v>34</v>
      </c>
      <c r="N100" s="88" t="s">
        <v>36</v>
      </c>
      <c r="O100" s="104">
        <f>VLOOKUP(E100,'[2]STOCK  19.09.2017'!$F$6:$I$233,4,0)</f>
        <v>2100</v>
      </c>
    </row>
    <row r="101" spans="1:15" ht="18.75" customHeight="1">
      <c r="A101" s="85">
        <v>146</v>
      </c>
      <c r="B101" s="102" t="s">
        <v>33</v>
      </c>
      <c r="C101" s="86">
        <v>104532</v>
      </c>
      <c r="D101" s="87" t="s">
        <v>272</v>
      </c>
      <c r="E101" s="102">
        <v>50022293</v>
      </c>
      <c r="F101" s="103" t="s">
        <v>407</v>
      </c>
      <c r="G101" s="102" t="s">
        <v>353</v>
      </c>
      <c r="H101" s="101">
        <v>300</v>
      </c>
      <c r="I101" s="101">
        <v>800</v>
      </c>
      <c r="J101" s="101">
        <v>700</v>
      </c>
      <c r="K101" s="101" t="s">
        <v>34</v>
      </c>
      <c r="L101" s="101" t="s">
        <v>34</v>
      </c>
      <c r="M101" s="101" t="s">
        <v>34</v>
      </c>
      <c r="N101" s="88" t="s">
        <v>36</v>
      </c>
      <c r="O101" s="104" t="e">
        <f>VLOOKUP(E101,'[2]STOCK  19.09.2017'!$F$6:$I$233,4,0)</f>
        <v>#N/A</v>
      </c>
    </row>
    <row r="102" spans="1:15" ht="18.75" customHeight="1">
      <c r="A102" s="85">
        <v>147</v>
      </c>
      <c r="B102" s="102" t="s">
        <v>33</v>
      </c>
      <c r="C102" s="86">
        <v>104532</v>
      </c>
      <c r="D102" s="87" t="s">
        <v>272</v>
      </c>
      <c r="E102" s="102">
        <v>50021775</v>
      </c>
      <c r="F102" s="103" t="s">
        <v>328</v>
      </c>
      <c r="G102" s="102" t="s">
        <v>354</v>
      </c>
      <c r="H102" s="101">
        <v>5900</v>
      </c>
      <c r="I102" s="101">
        <v>5900</v>
      </c>
      <c r="J102" s="101">
        <v>3900</v>
      </c>
      <c r="K102" s="101" t="s">
        <v>34</v>
      </c>
      <c r="L102" s="101" t="s">
        <v>34</v>
      </c>
      <c r="M102" s="101" t="s">
        <v>34</v>
      </c>
      <c r="N102" s="88" t="s">
        <v>36</v>
      </c>
      <c r="O102" s="104">
        <f>VLOOKUP(E102,'[2]STOCK  19.09.2017'!$F$6:$I$233,4,0)</f>
        <v>1200</v>
      </c>
    </row>
    <row r="103" spans="1:15" ht="18.75" customHeight="1">
      <c r="A103" s="85">
        <v>148</v>
      </c>
      <c r="B103" s="102" t="s">
        <v>33</v>
      </c>
      <c r="C103" s="86">
        <v>104532</v>
      </c>
      <c r="D103" s="87" t="s">
        <v>272</v>
      </c>
      <c r="E103" s="102">
        <v>50021774</v>
      </c>
      <c r="F103" s="103" t="s">
        <v>329</v>
      </c>
      <c r="G103" s="102" t="s">
        <v>354</v>
      </c>
      <c r="H103" s="101">
        <v>5900</v>
      </c>
      <c r="I103" s="101">
        <v>5900</v>
      </c>
      <c r="J103" s="101">
        <v>3900</v>
      </c>
      <c r="K103" s="101" t="s">
        <v>34</v>
      </c>
      <c r="L103" s="101" t="s">
        <v>34</v>
      </c>
      <c r="M103" s="101" t="s">
        <v>34</v>
      </c>
      <c r="N103" s="88" t="s">
        <v>36</v>
      </c>
      <c r="O103" s="104">
        <f>VLOOKUP(E103,'[2]STOCK  19.09.2017'!$F$6:$I$233,4,0)</f>
        <v>1200</v>
      </c>
    </row>
    <row r="104" spans="1:15" ht="18.75" customHeight="1">
      <c r="A104" s="85">
        <v>149</v>
      </c>
      <c r="B104" s="102" t="s">
        <v>33</v>
      </c>
      <c r="C104" s="86">
        <v>104532</v>
      </c>
      <c r="D104" s="87" t="s">
        <v>272</v>
      </c>
      <c r="E104" s="102">
        <v>50022036</v>
      </c>
      <c r="F104" s="103" t="s">
        <v>330</v>
      </c>
      <c r="G104" s="102" t="s">
        <v>355</v>
      </c>
      <c r="H104" s="101">
        <v>1200</v>
      </c>
      <c r="I104" s="101">
        <v>1200</v>
      </c>
      <c r="J104" s="101">
        <v>3400</v>
      </c>
      <c r="K104" s="101" t="s">
        <v>34</v>
      </c>
      <c r="L104" s="101" t="s">
        <v>34</v>
      </c>
      <c r="M104" s="101" t="s">
        <v>34</v>
      </c>
      <c r="N104" s="88" t="s">
        <v>36</v>
      </c>
      <c r="O104" s="104">
        <f>VLOOKUP(E104,'[2]STOCK  19.09.2017'!$F$6:$I$233,4,0)</f>
        <v>1200</v>
      </c>
    </row>
    <row r="105" spans="1:15" ht="18.75" customHeight="1">
      <c r="A105" s="85">
        <v>150</v>
      </c>
      <c r="B105" s="102" t="s">
        <v>33</v>
      </c>
      <c r="C105" s="86">
        <v>104532</v>
      </c>
      <c r="D105" s="87" t="s">
        <v>272</v>
      </c>
      <c r="E105" s="102">
        <v>50022037</v>
      </c>
      <c r="F105" s="103" t="s">
        <v>331</v>
      </c>
      <c r="G105" s="102" t="s">
        <v>355</v>
      </c>
      <c r="H105" s="101">
        <v>1200</v>
      </c>
      <c r="I105" s="101">
        <v>1200</v>
      </c>
      <c r="J105" s="101">
        <v>3400</v>
      </c>
      <c r="K105" s="101" t="s">
        <v>34</v>
      </c>
      <c r="L105" s="101" t="s">
        <v>34</v>
      </c>
      <c r="M105" s="101" t="s">
        <v>34</v>
      </c>
      <c r="N105" s="88" t="s">
        <v>36</v>
      </c>
      <c r="O105" s="104">
        <f>VLOOKUP(E105,'[2]STOCK  19.09.2017'!$F$6:$I$233,4,0)</f>
        <v>900</v>
      </c>
    </row>
    <row r="106" spans="1:15" ht="18.75" customHeight="1">
      <c r="A106" s="85">
        <v>151</v>
      </c>
      <c r="B106" s="102" t="s">
        <v>33</v>
      </c>
      <c r="C106" s="86">
        <v>104532</v>
      </c>
      <c r="D106" s="87" t="s">
        <v>272</v>
      </c>
      <c r="E106" s="102">
        <v>50022276</v>
      </c>
      <c r="F106" s="103" t="s">
        <v>385</v>
      </c>
      <c r="G106" s="102" t="s">
        <v>390</v>
      </c>
      <c r="H106" s="101">
        <v>3700</v>
      </c>
      <c r="I106" s="101">
        <v>4600</v>
      </c>
      <c r="J106" s="101">
        <v>4000</v>
      </c>
      <c r="K106" s="101" t="s">
        <v>34</v>
      </c>
      <c r="L106" s="101" t="s">
        <v>34</v>
      </c>
      <c r="M106" s="101" t="s">
        <v>34</v>
      </c>
      <c r="N106" s="88" t="s">
        <v>36</v>
      </c>
      <c r="O106" s="104">
        <f>VLOOKUP(E106,'[2]STOCK  19.09.2017'!$F$6:$I$233,4,0)</f>
        <v>900</v>
      </c>
    </row>
    <row r="107" spans="1:15" ht="18.75" customHeight="1">
      <c r="A107" s="85">
        <v>152</v>
      </c>
      <c r="B107" s="102" t="s">
        <v>33</v>
      </c>
      <c r="C107" s="86">
        <v>104532</v>
      </c>
      <c r="D107" s="87" t="s">
        <v>272</v>
      </c>
      <c r="E107" s="102">
        <v>50022277</v>
      </c>
      <c r="F107" s="103" t="s">
        <v>386</v>
      </c>
      <c r="G107" s="102" t="s">
        <v>390</v>
      </c>
      <c r="H107" s="101">
        <v>3700</v>
      </c>
      <c r="I107" s="101">
        <v>4600</v>
      </c>
      <c r="J107" s="101">
        <v>4000</v>
      </c>
      <c r="K107" s="101" t="s">
        <v>34</v>
      </c>
      <c r="L107" s="101" t="s">
        <v>34</v>
      </c>
      <c r="M107" s="101" t="s">
        <v>34</v>
      </c>
      <c r="N107" s="88" t="s">
        <v>36</v>
      </c>
      <c r="O107" s="104">
        <f>VLOOKUP(E107,'[2]STOCK  19.09.2017'!$F$6:$I$233,4,0)</f>
        <v>900</v>
      </c>
    </row>
    <row r="108" spans="1:15" ht="18.75" customHeight="1">
      <c r="A108" s="85">
        <v>153</v>
      </c>
      <c r="B108" s="102" t="s">
        <v>33</v>
      </c>
      <c r="C108" s="86">
        <v>104532</v>
      </c>
      <c r="D108" s="87" t="s">
        <v>272</v>
      </c>
      <c r="E108" s="102">
        <v>50009223</v>
      </c>
      <c r="F108" s="103" t="s">
        <v>332</v>
      </c>
      <c r="G108" s="102" t="s">
        <v>281</v>
      </c>
      <c r="H108" s="101" t="s">
        <v>34</v>
      </c>
      <c r="I108" s="101" t="s">
        <v>34</v>
      </c>
      <c r="J108" s="101" t="s">
        <v>34</v>
      </c>
      <c r="K108" s="101" t="s">
        <v>34</v>
      </c>
      <c r="L108" s="101" t="s">
        <v>34</v>
      </c>
      <c r="M108" s="101" t="s">
        <v>34</v>
      </c>
      <c r="N108" s="88" t="s">
        <v>36</v>
      </c>
      <c r="O108" s="104" t="e">
        <f>VLOOKUP(E108,'[2]STOCK  19.09.2017'!$F$6:$I$233,4,0)</f>
        <v>#N/A</v>
      </c>
    </row>
    <row r="109" spans="1:15" ht="18.75" customHeight="1">
      <c r="A109" s="85">
        <v>154</v>
      </c>
      <c r="B109" s="102" t="s">
        <v>33</v>
      </c>
      <c r="C109" s="86">
        <v>104532</v>
      </c>
      <c r="D109" s="87" t="s">
        <v>272</v>
      </c>
      <c r="E109" s="102">
        <v>50009225</v>
      </c>
      <c r="F109" s="103" t="s">
        <v>333</v>
      </c>
      <c r="G109" s="102" t="s">
        <v>281</v>
      </c>
      <c r="H109" s="101" t="s">
        <v>34</v>
      </c>
      <c r="I109" s="101" t="s">
        <v>34</v>
      </c>
      <c r="J109" s="101" t="s">
        <v>34</v>
      </c>
      <c r="K109" s="101" t="s">
        <v>34</v>
      </c>
      <c r="L109" s="101" t="s">
        <v>34</v>
      </c>
      <c r="M109" s="101" t="s">
        <v>34</v>
      </c>
      <c r="N109" s="88" t="s">
        <v>36</v>
      </c>
      <c r="O109" s="104" t="e">
        <f>VLOOKUP(E109,'[2]STOCK  19.09.2017'!$F$6:$I$233,4,0)</f>
        <v>#N/A</v>
      </c>
    </row>
    <row r="110" spans="1:15" ht="18.75" customHeight="1">
      <c r="A110" s="85">
        <v>155</v>
      </c>
      <c r="B110" s="102" t="s">
        <v>33</v>
      </c>
      <c r="C110" s="86">
        <v>104532</v>
      </c>
      <c r="D110" s="87" t="s">
        <v>272</v>
      </c>
      <c r="E110" s="102">
        <v>50001808</v>
      </c>
      <c r="F110" s="103" t="s">
        <v>334</v>
      </c>
      <c r="G110" s="102" t="s">
        <v>356</v>
      </c>
      <c r="H110" s="101" t="s">
        <v>34</v>
      </c>
      <c r="I110" s="101" t="s">
        <v>34</v>
      </c>
      <c r="J110" s="101" t="s">
        <v>34</v>
      </c>
      <c r="K110" s="101" t="s">
        <v>34</v>
      </c>
      <c r="L110" s="101" t="s">
        <v>34</v>
      </c>
      <c r="M110" s="101" t="s">
        <v>34</v>
      </c>
      <c r="N110" s="88" t="s">
        <v>36</v>
      </c>
      <c r="O110" s="104" t="e">
        <f>VLOOKUP(E110,'[2]STOCK  19.09.2017'!$F$6:$I$233,4,0)</f>
        <v>#N/A</v>
      </c>
    </row>
    <row r="111" spans="1:15" ht="18.75" customHeight="1">
      <c r="A111" s="85">
        <v>156</v>
      </c>
      <c r="B111" s="102" t="s">
        <v>33</v>
      </c>
      <c r="C111" s="86">
        <v>104532</v>
      </c>
      <c r="D111" s="87" t="s">
        <v>272</v>
      </c>
      <c r="E111" s="102">
        <v>50001809</v>
      </c>
      <c r="F111" s="103" t="s">
        <v>335</v>
      </c>
      <c r="G111" s="102" t="s">
        <v>356</v>
      </c>
      <c r="H111" s="101" t="s">
        <v>34</v>
      </c>
      <c r="I111" s="101" t="s">
        <v>34</v>
      </c>
      <c r="J111" s="101" t="s">
        <v>34</v>
      </c>
      <c r="K111" s="101" t="s">
        <v>34</v>
      </c>
      <c r="L111" s="101" t="s">
        <v>34</v>
      </c>
      <c r="M111" s="101" t="s">
        <v>34</v>
      </c>
      <c r="N111" s="88" t="s">
        <v>36</v>
      </c>
      <c r="O111" s="104" t="e">
        <f>VLOOKUP(E111,'[2]STOCK  19.09.2017'!$F$6:$I$233,4,0)</f>
        <v>#N/A</v>
      </c>
    </row>
    <row r="112" spans="1:15" ht="18.75" customHeight="1">
      <c r="A112" s="85">
        <v>157</v>
      </c>
      <c r="B112" s="102" t="s">
        <v>33</v>
      </c>
      <c r="C112" s="86">
        <v>104532</v>
      </c>
      <c r="D112" s="87" t="s">
        <v>272</v>
      </c>
      <c r="E112" s="102">
        <v>50001811</v>
      </c>
      <c r="F112" s="103" t="s">
        <v>336</v>
      </c>
      <c r="G112" s="103" t="s">
        <v>357</v>
      </c>
      <c r="H112" s="101" t="s">
        <v>34</v>
      </c>
      <c r="I112" s="101" t="s">
        <v>34</v>
      </c>
      <c r="J112" s="101" t="s">
        <v>34</v>
      </c>
      <c r="K112" s="101" t="s">
        <v>34</v>
      </c>
      <c r="L112" s="101" t="s">
        <v>34</v>
      </c>
      <c r="M112" s="101" t="s">
        <v>34</v>
      </c>
      <c r="N112" s="88" t="s">
        <v>36</v>
      </c>
      <c r="O112" s="104" t="e">
        <f>VLOOKUP(E112,'[2]STOCK  19.09.2017'!$F$6:$I$233,4,0)</f>
        <v>#N/A</v>
      </c>
    </row>
    <row r="113" spans="1:15" ht="18.75" customHeight="1">
      <c r="A113" s="85">
        <v>158</v>
      </c>
      <c r="B113" s="102" t="s">
        <v>33</v>
      </c>
      <c r="C113" s="86">
        <v>104532</v>
      </c>
      <c r="D113" s="87" t="s">
        <v>272</v>
      </c>
      <c r="E113" s="102">
        <v>50001812</v>
      </c>
      <c r="F113" s="103" t="s">
        <v>337</v>
      </c>
      <c r="G113" s="103" t="s">
        <v>357</v>
      </c>
      <c r="H113" s="101" t="s">
        <v>34</v>
      </c>
      <c r="I113" s="101" t="s">
        <v>34</v>
      </c>
      <c r="J113" s="101" t="s">
        <v>34</v>
      </c>
      <c r="K113" s="101" t="s">
        <v>34</v>
      </c>
      <c r="L113" s="101" t="s">
        <v>34</v>
      </c>
      <c r="M113" s="101" t="s">
        <v>34</v>
      </c>
      <c r="N113" s="88" t="s">
        <v>36</v>
      </c>
      <c r="O113" s="104" t="e">
        <f>VLOOKUP(E113,'[2]STOCK  19.09.2017'!$F$6:$I$233,4,0)</f>
        <v>#N/A</v>
      </c>
    </row>
    <row r="114" spans="1:15" ht="18.75" customHeight="1">
      <c r="A114" s="85">
        <v>159</v>
      </c>
      <c r="B114" s="102" t="s">
        <v>33</v>
      </c>
      <c r="C114" s="86">
        <v>104532</v>
      </c>
      <c r="D114" s="87" t="s">
        <v>272</v>
      </c>
      <c r="E114" s="102">
        <v>50001872</v>
      </c>
      <c r="F114" s="103" t="s">
        <v>338</v>
      </c>
      <c r="G114" s="102" t="s">
        <v>294</v>
      </c>
      <c r="H114" s="101" t="s">
        <v>34</v>
      </c>
      <c r="I114" s="101" t="s">
        <v>34</v>
      </c>
      <c r="J114" s="101" t="s">
        <v>34</v>
      </c>
      <c r="K114" s="101" t="s">
        <v>34</v>
      </c>
      <c r="L114" s="101" t="s">
        <v>34</v>
      </c>
      <c r="M114" s="101" t="s">
        <v>34</v>
      </c>
      <c r="N114" s="88" t="s">
        <v>36</v>
      </c>
      <c r="O114" s="104" t="e">
        <f>VLOOKUP(E114,'[2]STOCK  19.09.2017'!$F$6:$I$233,4,0)</f>
        <v>#N/A</v>
      </c>
    </row>
    <row r="115" spans="1:15" ht="18.75" customHeight="1">
      <c r="A115" s="85">
        <v>160</v>
      </c>
      <c r="B115" s="102" t="s">
        <v>33</v>
      </c>
      <c r="C115" s="86">
        <v>104532</v>
      </c>
      <c r="D115" s="87" t="s">
        <v>272</v>
      </c>
      <c r="E115" s="102">
        <v>50001843</v>
      </c>
      <c r="F115" s="103" t="s">
        <v>339</v>
      </c>
      <c r="G115" s="102" t="s">
        <v>358</v>
      </c>
      <c r="H115" s="101" t="s">
        <v>34</v>
      </c>
      <c r="I115" s="101" t="s">
        <v>34</v>
      </c>
      <c r="J115" s="101" t="s">
        <v>34</v>
      </c>
      <c r="K115" s="101" t="s">
        <v>34</v>
      </c>
      <c r="L115" s="101" t="s">
        <v>34</v>
      </c>
      <c r="M115" s="101" t="s">
        <v>34</v>
      </c>
      <c r="N115" s="88" t="s">
        <v>36</v>
      </c>
      <c r="O115" s="104" t="e">
        <f>VLOOKUP(E115,'[2]STOCK  19.09.2017'!$F$6:$I$233,4,0)</f>
        <v>#N/A</v>
      </c>
    </row>
    <row r="116" spans="1:15" ht="18.75" customHeight="1">
      <c r="A116" s="85">
        <v>161</v>
      </c>
      <c r="B116" s="102" t="s">
        <v>33</v>
      </c>
      <c r="C116" s="86">
        <v>104532</v>
      </c>
      <c r="D116" s="87" t="s">
        <v>272</v>
      </c>
      <c r="E116" s="102">
        <v>50004366</v>
      </c>
      <c r="F116" s="103" t="s">
        <v>340</v>
      </c>
      <c r="G116" s="102" t="s">
        <v>358</v>
      </c>
      <c r="H116" s="101" t="s">
        <v>34</v>
      </c>
      <c r="I116" s="101" t="s">
        <v>34</v>
      </c>
      <c r="J116" s="101" t="s">
        <v>34</v>
      </c>
      <c r="K116" s="101" t="s">
        <v>34</v>
      </c>
      <c r="L116" s="101" t="s">
        <v>34</v>
      </c>
      <c r="M116" s="101" t="s">
        <v>34</v>
      </c>
      <c r="N116" s="88" t="s">
        <v>36</v>
      </c>
      <c r="O116" s="104" t="e">
        <f>VLOOKUP(E116,'[2]STOCK  19.09.2017'!$F$6:$I$233,4,0)</f>
        <v>#N/A</v>
      </c>
    </row>
    <row r="117" spans="1:15" ht="18.75" customHeight="1">
      <c r="A117" s="85">
        <v>162</v>
      </c>
      <c r="B117" s="102" t="s">
        <v>33</v>
      </c>
      <c r="C117" s="86">
        <v>104532</v>
      </c>
      <c r="D117" s="87" t="s">
        <v>272</v>
      </c>
      <c r="E117" s="102">
        <v>50004415</v>
      </c>
      <c r="F117" s="103" t="s">
        <v>341</v>
      </c>
      <c r="G117" s="102" t="s">
        <v>297</v>
      </c>
      <c r="H117" s="101" t="s">
        <v>34</v>
      </c>
      <c r="I117" s="101" t="s">
        <v>34</v>
      </c>
      <c r="J117" s="101" t="s">
        <v>34</v>
      </c>
      <c r="K117" s="101" t="s">
        <v>34</v>
      </c>
      <c r="L117" s="101" t="s">
        <v>34</v>
      </c>
      <c r="M117" s="101" t="s">
        <v>34</v>
      </c>
      <c r="N117" s="88" t="s">
        <v>36</v>
      </c>
      <c r="O117" s="104">
        <f>VLOOKUP(E117,'[2]STOCK  19.09.2017'!$F$6:$I$233,4,0)</f>
        <v>745</v>
      </c>
    </row>
    <row r="118" spans="1:15" ht="18.75" customHeight="1">
      <c r="A118" s="85">
        <v>163</v>
      </c>
      <c r="B118" s="102" t="s">
        <v>33</v>
      </c>
      <c r="C118" s="86">
        <v>104532</v>
      </c>
      <c r="D118" s="87" t="s">
        <v>272</v>
      </c>
      <c r="E118" s="102">
        <v>50004416</v>
      </c>
      <c r="F118" s="103" t="s">
        <v>342</v>
      </c>
      <c r="G118" s="102" t="s">
        <v>297</v>
      </c>
      <c r="H118" s="101" t="s">
        <v>34</v>
      </c>
      <c r="I118" s="101" t="s">
        <v>34</v>
      </c>
      <c r="J118" s="101" t="s">
        <v>34</v>
      </c>
      <c r="K118" s="101" t="s">
        <v>34</v>
      </c>
      <c r="L118" s="101" t="s">
        <v>34</v>
      </c>
      <c r="M118" s="101" t="s">
        <v>34</v>
      </c>
      <c r="N118" s="88" t="s">
        <v>36</v>
      </c>
      <c r="O118" s="104" t="e">
        <f>VLOOKUP(E118,'[2]STOCK  19.09.2017'!$F$6:$I$233,4,0)</f>
        <v>#N/A</v>
      </c>
    </row>
    <row r="119" spans="1:15" ht="18.75" customHeight="1">
      <c r="A119" s="85">
        <v>164</v>
      </c>
      <c r="B119" s="102" t="s">
        <v>33</v>
      </c>
      <c r="C119" s="86">
        <v>104532</v>
      </c>
      <c r="D119" s="87" t="s">
        <v>272</v>
      </c>
      <c r="E119" s="102">
        <v>50013839</v>
      </c>
      <c r="F119" s="103" t="s">
        <v>343</v>
      </c>
      <c r="G119" s="102" t="s">
        <v>296</v>
      </c>
      <c r="H119" s="101" t="s">
        <v>34</v>
      </c>
      <c r="I119" s="101" t="s">
        <v>34</v>
      </c>
      <c r="J119" s="101" t="s">
        <v>34</v>
      </c>
      <c r="K119" s="101" t="s">
        <v>34</v>
      </c>
      <c r="L119" s="101" t="s">
        <v>34</v>
      </c>
      <c r="M119" s="101" t="s">
        <v>34</v>
      </c>
      <c r="N119" s="88" t="s">
        <v>36</v>
      </c>
      <c r="O119" s="104" t="e">
        <f>VLOOKUP(E119,'[2]STOCK  19.09.2017'!$F$6:$I$233,4,0)</f>
        <v>#N/A</v>
      </c>
    </row>
    <row r="120" spans="1:15" ht="18.75" customHeight="1">
      <c r="A120" s="85">
        <v>165</v>
      </c>
      <c r="B120" s="102" t="s">
        <v>33</v>
      </c>
      <c r="C120" s="86">
        <v>104532</v>
      </c>
      <c r="D120" s="87" t="s">
        <v>272</v>
      </c>
      <c r="E120" s="102">
        <v>50004623</v>
      </c>
      <c r="F120" s="103" t="s">
        <v>344</v>
      </c>
      <c r="G120" s="102" t="s">
        <v>359</v>
      </c>
      <c r="H120" s="101" t="s">
        <v>34</v>
      </c>
      <c r="I120" s="101" t="s">
        <v>34</v>
      </c>
      <c r="J120" s="101" t="s">
        <v>34</v>
      </c>
      <c r="K120" s="101" t="s">
        <v>34</v>
      </c>
      <c r="L120" s="101" t="s">
        <v>34</v>
      </c>
      <c r="M120" s="101" t="s">
        <v>34</v>
      </c>
      <c r="N120" s="88" t="s">
        <v>36</v>
      </c>
      <c r="O120" s="104" t="e">
        <f>VLOOKUP(E120,'[2]STOCK  19.09.2017'!$F$6:$I$233,4,0)</f>
        <v>#N/A</v>
      </c>
    </row>
    <row r="121" spans="1:15" ht="18.75" customHeight="1">
      <c r="A121" s="85">
        <v>166</v>
      </c>
      <c r="B121" s="102" t="s">
        <v>33</v>
      </c>
      <c r="C121" s="86">
        <v>104532</v>
      </c>
      <c r="D121" s="87" t="s">
        <v>272</v>
      </c>
      <c r="E121" s="102">
        <v>50004620</v>
      </c>
      <c r="F121" s="103" t="s">
        <v>345</v>
      </c>
      <c r="G121" s="102" t="s">
        <v>359</v>
      </c>
      <c r="H121" s="101" t="s">
        <v>34</v>
      </c>
      <c r="I121" s="101" t="s">
        <v>34</v>
      </c>
      <c r="J121" s="101" t="s">
        <v>34</v>
      </c>
      <c r="K121" s="101" t="s">
        <v>34</v>
      </c>
      <c r="L121" s="101" t="s">
        <v>34</v>
      </c>
      <c r="M121" s="101" t="s">
        <v>34</v>
      </c>
      <c r="N121" s="88" t="s">
        <v>36</v>
      </c>
      <c r="O121" s="104" t="e">
        <f>VLOOKUP(E121,'[2]STOCK  19.09.2017'!$F$6:$I$233,4,0)</f>
        <v>#N/A</v>
      </c>
    </row>
    <row r="122" spans="1:15" ht="18.75" customHeight="1">
      <c r="A122" s="85">
        <v>167</v>
      </c>
      <c r="B122" s="102" t="s">
        <v>33</v>
      </c>
      <c r="C122" s="86">
        <v>104532</v>
      </c>
      <c r="D122" s="87" t="s">
        <v>272</v>
      </c>
      <c r="E122" s="102">
        <v>50014382</v>
      </c>
      <c r="F122" s="103" t="s">
        <v>428</v>
      </c>
      <c r="G122" s="102"/>
      <c r="H122" s="101" t="s">
        <v>34</v>
      </c>
      <c r="I122" s="101" t="s">
        <v>34</v>
      </c>
      <c r="J122" s="101" t="s">
        <v>34</v>
      </c>
      <c r="K122" s="101" t="s">
        <v>34</v>
      </c>
      <c r="L122" s="101" t="s">
        <v>34</v>
      </c>
      <c r="M122" s="101" t="s">
        <v>34</v>
      </c>
      <c r="N122" s="88" t="s">
        <v>36</v>
      </c>
      <c r="O122" s="104" t="e">
        <f>VLOOKUP(E122,'[2]STOCK  19.09.2017'!$F$6:$I$233,4,0)</f>
        <v>#N/A</v>
      </c>
    </row>
    <row r="123" spans="1:15" ht="18.75" customHeight="1">
      <c r="A123" s="85">
        <v>168</v>
      </c>
      <c r="B123" s="102" t="s">
        <v>33</v>
      </c>
      <c r="C123" s="86">
        <v>104532</v>
      </c>
      <c r="D123" s="87" t="s">
        <v>272</v>
      </c>
      <c r="E123" s="90">
        <v>50014383</v>
      </c>
      <c r="F123" s="105" t="s">
        <v>429</v>
      </c>
      <c r="G123" s="102"/>
      <c r="H123" s="101" t="s">
        <v>34</v>
      </c>
      <c r="I123" s="101" t="s">
        <v>34</v>
      </c>
      <c r="J123" s="101" t="s">
        <v>34</v>
      </c>
      <c r="K123" s="101" t="s">
        <v>34</v>
      </c>
      <c r="L123" s="101" t="s">
        <v>34</v>
      </c>
      <c r="M123" s="101" t="s">
        <v>34</v>
      </c>
      <c r="N123" s="88" t="s">
        <v>36</v>
      </c>
      <c r="O123" s="104">
        <f>VLOOKUP(E123,'[2]STOCK  19.09.2017'!$F$6:$I$233,4,0)</f>
        <v>24</v>
      </c>
    </row>
    <row r="124" spans="1:15" ht="18.75" customHeight="1">
      <c r="A124" s="85">
        <v>169</v>
      </c>
      <c r="B124" s="102" t="s">
        <v>33</v>
      </c>
      <c r="C124" s="86">
        <v>104532</v>
      </c>
      <c r="D124" s="87" t="s">
        <v>272</v>
      </c>
      <c r="E124" s="90">
        <v>50014384</v>
      </c>
      <c r="F124" s="105" t="s">
        <v>283</v>
      </c>
      <c r="G124" s="102"/>
      <c r="H124" s="101" t="s">
        <v>34</v>
      </c>
      <c r="I124" s="101" t="s">
        <v>34</v>
      </c>
      <c r="J124" s="101" t="s">
        <v>34</v>
      </c>
      <c r="K124" s="101" t="s">
        <v>34</v>
      </c>
      <c r="L124" s="101" t="s">
        <v>34</v>
      </c>
      <c r="M124" s="101" t="s">
        <v>34</v>
      </c>
      <c r="N124" s="88" t="s">
        <v>36</v>
      </c>
      <c r="O124" s="104">
        <f>VLOOKUP(E124,'[2]STOCK  19.09.2017'!$F$6:$I$233,4,0)</f>
        <v>34</v>
      </c>
    </row>
    <row r="125" spans="1:15" ht="18.75" customHeight="1">
      <c r="A125" s="85">
        <v>170</v>
      </c>
      <c r="B125" s="102" t="s">
        <v>33</v>
      </c>
      <c r="C125" s="86">
        <v>104532</v>
      </c>
      <c r="D125" s="87" t="s">
        <v>272</v>
      </c>
      <c r="E125" s="90">
        <v>50014385</v>
      </c>
      <c r="F125" s="105" t="s">
        <v>430</v>
      </c>
      <c r="G125" s="102"/>
      <c r="H125" s="101" t="s">
        <v>34</v>
      </c>
      <c r="I125" s="101" t="s">
        <v>34</v>
      </c>
      <c r="J125" s="101" t="s">
        <v>34</v>
      </c>
      <c r="K125" s="101" t="s">
        <v>34</v>
      </c>
      <c r="L125" s="101" t="s">
        <v>34</v>
      </c>
      <c r="M125" s="101" t="s">
        <v>34</v>
      </c>
      <c r="N125" s="88" t="s">
        <v>36</v>
      </c>
      <c r="O125" s="104">
        <f>VLOOKUP(E125,'[2]STOCK  19.09.2017'!$F$6:$I$233,4,0)</f>
        <v>160</v>
      </c>
    </row>
    <row r="126" spans="1:15" ht="18.75" customHeight="1">
      <c r="A126" s="85">
        <v>171</v>
      </c>
      <c r="B126" s="102" t="s">
        <v>33</v>
      </c>
      <c r="C126" s="86">
        <v>104532</v>
      </c>
      <c r="D126" s="87" t="s">
        <v>272</v>
      </c>
      <c r="E126" s="102">
        <v>50001911</v>
      </c>
      <c r="F126" s="103" t="s">
        <v>100</v>
      </c>
      <c r="G126" s="102"/>
      <c r="H126" s="101" t="s">
        <v>34</v>
      </c>
      <c r="I126" s="101" t="s">
        <v>34</v>
      </c>
      <c r="J126" s="101" t="s">
        <v>34</v>
      </c>
      <c r="K126" s="101" t="s">
        <v>34</v>
      </c>
      <c r="L126" s="101" t="s">
        <v>34</v>
      </c>
      <c r="M126" s="101" t="s">
        <v>34</v>
      </c>
      <c r="N126" s="88" t="s">
        <v>36</v>
      </c>
      <c r="O126" s="104" t="e">
        <f>VLOOKUP(E126,'[2]STOCK  19.09.2017'!$F$6:$I$233,4,0)</f>
        <v>#N/A</v>
      </c>
    </row>
    <row r="127" spans="1:15" ht="18.75" customHeight="1">
      <c r="A127" s="85">
        <v>172</v>
      </c>
      <c r="B127" s="102" t="s">
        <v>33</v>
      </c>
      <c r="C127" s="86">
        <v>104532</v>
      </c>
      <c r="D127" s="87" t="s">
        <v>272</v>
      </c>
      <c r="E127" s="102">
        <v>50002447</v>
      </c>
      <c r="F127" s="103" t="s">
        <v>101</v>
      </c>
      <c r="G127" s="102"/>
      <c r="H127" s="101" t="s">
        <v>34</v>
      </c>
      <c r="I127" s="101" t="s">
        <v>34</v>
      </c>
      <c r="J127" s="101" t="s">
        <v>34</v>
      </c>
      <c r="K127" s="101" t="s">
        <v>34</v>
      </c>
      <c r="L127" s="101" t="s">
        <v>34</v>
      </c>
      <c r="M127" s="101" t="s">
        <v>34</v>
      </c>
      <c r="N127" s="88" t="s">
        <v>36</v>
      </c>
      <c r="O127" s="104" t="e">
        <f>VLOOKUP(E127,'[2]STOCK  19.09.2017'!$F$6:$I$233,4,0)</f>
        <v>#N/A</v>
      </c>
    </row>
    <row r="128" spans="1:15" ht="18.75" customHeight="1">
      <c r="A128" s="85">
        <v>173</v>
      </c>
      <c r="B128" s="102" t="s">
        <v>33</v>
      </c>
      <c r="C128" s="86">
        <v>104532</v>
      </c>
      <c r="D128" s="87" t="s">
        <v>272</v>
      </c>
      <c r="E128" s="102">
        <v>50003241</v>
      </c>
      <c r="F128" s="103" t="s">
        <v>102</v>
      </c>
      <c r="G128" s="102"/>
      <c r="H128" s="101" t="s">
        <v>34</v>
      </c>
      <c r="I128" s="101" t="s">
        <v>34</v>
      </c>
      <c r="J128" s="101" t="s">
        <v>34</v>
      </c>
      <c r="K128" s="101" t="s">
        <v>34</v>
      </c>
      <c r="L128" s="101" t="s">
        <v>34</v>
      </c>
      <c r="M128" s="101" t="s">
        <v>34</v>
      </c>
      <c r="N128" s="88" t="s">
        <v>36</v>
      </c>
      <c r="O128" s="104">
        <f>VLOOKUP(E128,'[2]STOCK  19.09.2017'!$F$6:$I$233,4,0)</f>
        <v>12</v>
      </c>
    </row>
    <row r="129" spans="1:15" ht="18.75" customHeight="1">
      <c r="A129" s="85">
        <v>174</v>
      </c>
      <c r="B129" s="102" t="s">
        <v>33</v>
      </c>
      <c r="C129" s="86">
        <v>104532</v>
      </c>
      <c r="D129" s="87" t="s">
        <v>272</v>
      </c>
      <c r="E129" s="102">
        <v>50003267</v>
      </c>
      <c r="F129" s="103" t="s">
        <v>103</v>
      </c>
      <c r="G129" s="102"/>
      <c r="H129" s="101" t="s">
        <v>34</v>
      </c>
      <c r="I129" s="101" t="s">
        <v>34</v>
      </c>
      <c r="J129" s="101" t="s">
        <v>34</v>
      </c>
      <c r="K129" s="101" t="s">
        <v>34</v>
      </c>
      <c r="L129" s="101" t="s">
        <v>34</v>
      </c>
      <c r="M129" s="101" t="s">
        <v>34</v>
      </c>
      <c r="N129" s="88" t="s">
        <v>36</v>
      </c>
      <c r="O129" s="104" t="e">
        <f>VLOOKUP(E129,'[2]STOCK  19.09.2017'!$F$6:$I$233,4,0)</f>
        <v>#N/A</v>
      </c>
    </row>
    <row r="130" spans="1:15" ht="18.75" customHeight="1">
      <c r="A130" s="85">
        <v>175</v>
      </c>
      <c r="B130" s="102" t="s">
        <v>33</v>
      </c>
      <c r="C130" s="86">
        <v>104532</v>
      </c>
      <c r="D130" s="87" t="s">
        <v>272</v>
      </c>
      <c r="E130" s="102">
        <v>50003268</v>
      </c>
      <c r="F130" s="103" t="s">
        <v>104</v>
      </c>
      <c r="G130" s="102"/>
      <c r="H130" s="101" t="s">
        <v>34</v>
      </c>
      <c r="I130" s="101" t="s">
        <v>34</v>
      </c>
      <c r="J130" s="101" t="s">
        <v>34</v>
      </c>
      <c r="K130" s="101" t="s">
        <v>34</v>
      </c>
      <c r="L130" s="101" t="s">
        <v>34</v>
      </c>
      <c r="M130" s="101" t="s">
        <v>34</v>
      </c>
      <c r="N130" s="88" t="s">
        <v>36</v>
      </c>
      <c r="O130" s="104" t="e">
        <f>VLOOKUP(E130,'[2]STOCK  19.09.2017'!$F$6:$I$233,4,0)</f>
        <v>#N/A</v>
      </c>
    </row>
    <row r="131" spans="1:15" ht="18.75" customHeight="1">
      <c r="A131" s="85">
        <v>176</v>
      </c>
      <c r="B131" s="102" t="s">
        <v>33</v>
      </c>
      <c r="C131" s="86">
        <v>104532</v>
      </c>
      <c r="D131" s="87" t="s">
        <v>272</v>
      </c>
      <c r="E131" s="102">
        <v>50003397</v>
      </c>
      <c r="F131" s="103" t="s">
        <v>105</v>
      </c>
      <c r="G131" s="102"/>
      <c r="H131" s="101" t="s">
        <v>34</v>
      </c>
      <c r="I131" s="101" t="s">
        <v>34</v>
      </c>
      <c r="J131" s="101" t="s">
        <v>34</v>
      </c>
      <c r="K131" s="101" t="s">
        <v>34</v>
      </c>
      <c r="L131" s="101" t="s">
        <v>34</v>
      </c>
      <c r="M131" s="101" t="s">
        <v>34</v>
      </c>
      <c r="N131" s="88" t="s">
        <v>36</v>
      </c>
      <c r="O131" s="104" t="e">
        <f>VLOOKUP(E131,'[2]STOCK  19.09.2017'!$F$6:$I$233,4,0)</f>
        <v>#N/A</v>
      </c>
    </row>
    <row r="132" spans="1:15" ht="18.75" customHeight="1">
      <c r="A132" s="85">
        <v>177</v>
      </c>
      <c r="B132" s="102" t="s">
        <v>33</v>
      </c>
      <c r="C132" s="86">
        <v>104532</v>
      </c>
      <c r="D132" s="87" t="s">
        <v>272</v>
      </c>
      <c r="E132" s="102">
        <v>50003441</v>
      </c>
      <c r="F132" s="103" t="s">
        <v>106</v>
      </c>
      <c r="G132" s="102"/>
      <c r="H132" s="101" t="s">
        <v>34</v>
      </c>
      <c r="I132" s="101" t="s">
        <v>34</v>
      </c>
      <c r="J132" s="101" t="s">
        <v>34</v>
      </c>
      <c r="K132" s="101" t="s">
        <v>34</v>
      </c>
      <c r="L132" s="101" t="s">
        <v>34</v>
      </c>
      <c r="M132" s="101" t="s">
        <v>34</v>
      </c>
      <c r="N132" s="88" t="s">
        <v>36</v>
      </c>
      <c r="O132" s="104" t="e">
        <f>VLOOKUP(E132,'[2]STOCK  19.09.2017'!$F$6:$I$233,4,0)</f>
        <v>#N/A</v>
      </c>
    </row>
    <row r="133" spans="1:15" ht="18.75" customHeight="1">
      <c r="A133" s="85">
        <v>178</v>
      </c>
      <c r="B133" s="102" t="s">
        <v>33</v>
      </c>
      <c r="C133" s="86">
        <v>104532</v>
      </c>
      <c r="D133" s="87" t="s">
        <v>272</v>
      </c>
      <c r="E133" s="102">
        <v>50003561</v>
      </c>
      <c r="F133" s="103" t="s">
        <v>107</v>
      </c>
      <c r="G133" s="102"/>
      <c r="H133" s="101" t="s">
        <v>34</v>
      </c>
      <c r="I133" s="101" t="s">
        <v>34</v>
      </c>
      <c r="J133" s="101" t="s">
        <v>34</v>
      </c>
      <c r="K133" s="101" t="s">
        <v>34</v>
      </c>
      <c r="L133" s="101" t="s">
        <v>34</v>
      </c>
      <c r="M133" s="101" t="s">
        <v>34</v>
      </c>
      <c r="N133" s="88" t="s">
        <v>36</v>
      </c>
      <c r="O133" s="104" t="e">
        <f>VLOOKUP(E133,'[2]STOCK  19.09.2017'!$F$6:$I$233,4,0)</f>
        <v>#N/A</v>
      </c>
    </row>
    <row r="134" spans="1:15" ht="18.75" customHeight="1">
      <c r="A134" s="85">
        <v>179</v>
      </c>
      <c r="B134" s="102" t="s">
        <v>33</v>
      </c>
      <c r="C134" s="86">
        <v>104532</v>
      </c>
      <c r="D134" s="87" t="s">
        <v>272</v>
      </c>
      <c r="E134" s="102">
        <v>50003677</v>
      </c>
      <c r="F134" s="103" t="s">
        <v>108</v>
      </c>
      <c r="G134" s="102"/>
      <c r="H134" s="101" t="s">
        <v>34</v>
      </c>
      <c r="I134" s="101" t="s">
        <v>34</v>
      </c>
      <c r="J134" s="101" t="s">
        <v>34</v>
      </c>
      <c r="K134" s="101" t="s">
        <v>34</v>
      </c>
      <c r="L134" s="101" t="s">
        <v>34</v>
      </c>
      <c r="M134" s="101" t="s">
        <v>34</v>
      </c>
      <c r="N134" s="88" t="s">
        <v>36</v>
      </c>
      <c r="O134" s="104" t="e">
        <f>VLOOKUP(E134,'[2]STOCK  19.09.2017'!$F$6:$I$233,4,0)</f>
        <v>#N/A</v>
      </c>
    </row>
    <row r="135" spans="1:15" ht="18.75" customHeight="1">
      <c r="A135" s="85">
        <v>180</v>
      </c>
      <c r="B135" s="102" t="s">
        <v>33</v>
      </c>
      <c r="C135" s="86">
        <v>104532</v>
      </c>
      <c r="D135" s="87" t="s">
        <v>272</v>
      </c>
      <c r="E135" s="102">
        <v>50003704</v>
      </c>
      <c r="F135" s="103" t="s">
        <v>109</v>
      </c>
      <c r="G135" s="102"/>
      <c r="H135" s="101" t="s">
        <v>34</v>
      </c>
      <c r="I135" s="101" t="s">
        <v>34</v>
      </c>
      <c r="J135" s="101" t="s">
        <v>34</v>
      </c>
      <c r="K135" s="101" t="s">
        <v>34</v>
      </c>
      <c r="L135" s="101" t="s">
        <v>34</v>
      </c>
      <c r="M135" s="101" t="s">
        <v>34</v>
      </c>
      <c r="N135" s="88" t="s">
        <v>36</v>
      </c>
      <c r="O135" s="104" t="e">
        <f>VLOOKUP(E135,'[2]STOCK  19.09.2017'!$F$6:$I$233,4,0)</f>
        <v>#N/A</v>
      </c>
    </row>
    <row r="136" spans="1:15" ht="18.75" customHeight="1">
      <c r="A136" s="85">
        <v>181</v>
      </c>
      <c r="B136" s="102" t="s">
        <v>33</v>
      </c>
      <c r="C136" s="86">
        <v>104532</v>
      </c>
      <c r="D136" s="87" t="s">
        <v>272</v>
      </c>
      <c r="E136" s="102">
        <v>50003739</v>
      </c>
      <c r="F136" s="103" t="s">
        <v>110</v>
      </c>
      <c r="G136" s="102"/>
      <c r="H136" s="101" t="s">
        <v>34</v>
      </c>
      <c r="I136" s="101" t="s">
        <v>34</v>
      </c>
      <c r="J136" s="101" t="s">
        <v>34</v>
      </c>
      <c r="K136" s="101" t="s">
        <v>34</v>
      </c>
      <c r="L136" s="101" t="s">
        <v>34</v>
      </c>
      <c r="M136" s="101" t="s">
        <v>34</v>
      </c>
      <c r="N136" s="88" t="s">
        <v>36</v>
      </c>
      <c r="O136" s="104" t="e">
        <f>VLOOKUP(E136,'[2]STOCK  19.09.2017'!$F$6:$I$233,4,0)</f>
        <v>#N/A</v>
      </c>
    </row>
    <row r="137" spans="1:15" ht="18.75" customHeight="1">
      <c r="A137" s="85">
        <v>182</v>
      </c>
      <c r="B137" s="102" t="s">
        <v>33</v>
      </c>
      <c r="C137" s="93">
        <v>104532</v>
      </c>
      <c r="D137" s="94" t="s">
        <v>272</v>
      </c>
      <c r="E137" s="102">
        <v>50003852</v>
      </c>
      <c r="F137" s="103" t="s">
        <v>111</v>
      </c>
      <c r="G137" s="102"/>
      <c r="H137" s="101" t="s">
        <v>34</v>
      </c>
      <c r="I137" s="101" t="s">
        <v>34</v>
      </c>
      <c r="J137" s="101" t="s">
        <v>34</v>
      </c>
      <c r="K137" s="101" t="s">
        <v>34</v>
      </c>
      <c r="L137" s="101" t="s">
        <v>34</v>
      </c>
      <c r="M137" s="101" t="s">
        <v>34</v>
      </c>
      <c r="N137" s="88" t="s">
        <v>36</v>
      </c>
      <c r="O137" s="104" t="e">
        <f>VLOOKUP(E137,'[2]STOCK  19.09.2017'!$F$6:$I$233,4,0)</f>
        <v>#N/A</v>
      </c>
    </row>
    <row r="138" spans="1:15" ht="18.75" customHeight="1">
      <c r="A138" s="85">
        <v>183</v>
      </c>
      <c r="B138" s="102" t="s">
        <v>33</v>
      </c>
      <c r="C138" s="93">
        <v>104532</v>
      </c>
      <c r="D138" s="94" t="s">
        <v>272</v>
      </c>
      <c r="E138" s="102">
        <v>50004529</v>
      </c>
      <c r="F138" s="103" t="s">
        <v>112</v>
      </c>
      <c r="G138" s="102"/>
      <c r="H138" s="101" t="s">
        <v>34</v>
      </c>
      <c r="I138" s="101" t="s">
        <v>34</v>
      </c>
      <c r="J138" s="101" t="s">
        <v>34</v>
      </c>
      <c r="K138" s="101" t="s">
        <v>34</v>
      </c>
      <c r="L138" s="101" t="s">
        <v>34</v>
      </c>
      <c r="M138" s="101" t="s">
        <v>34</v>
      </c>
      <c r="N138" s="88" t="s">
        <v>36</v>
      </c>
      <c r="O138" s="104" t="e">
        <f>VLOOKUP(E138,'[2]STOCK  19.09.2017'!$F$6:$I$233,4,0)</f>
        <v>#N/A</v>
      </c>
    </row>
    <row r="139" spans="1:15" ht="18.75" customHeight="1">
      <c r="A139" s="85">
        <v>184</v>
      </c>
      <c r="B139" s="102" t="s">
        <v>33</v>
      </c>
      <c r="C139" s="93">
        <v>104532</v>
      </c>
      <c r="D139" s="94" t="s">
        <v>272</v>
      </c>
      <c r="E139" s="102">
        <v>50010550</v>
      </c>
      <c r="F139" s="103" t="s">
        <v>113</v>
      </c>
      <c r="G139" s="102"/>
      <c r="H139" s="101">
        <v>500</v>
      </c>
      <c r="I139" s="101">
        <v>700</v>
      </c>
      <c r="J139" s="101">
        <v>300</v>
      </c>
      <c r="K139" s="101" t="s">
        <v>34</v>
      </c>
      <c r="L139" s="101" t="s">
        <v>34</v>
      </c>
      <c r="M139" s="101" t="s">
        <v>34</v>
      </c>
      <c r="N139" s="88" t="s">
        <v>36</v>
      </c>
      <c r="O139" s="104" t="e">
        <f>VLOOKUP(E139,'[2]STOCK  19.09.2017'!$F$6:$I$233,4,0)</f>
        <v>#N/A</v>
      </c>
    </row>
    <row r="140" spans="1:15" ht="18.75" customHeight="1">
      <c r="A140" s="85">
        <v>185</v>
      </c>
      <c r="B140" s="102" t="s">
        <v>33</v>
      </c>
      <c r="C140" s="93">
        <v>104532</v>
      </c>
      <c r="D140" s="94" t="s">
        <v>272</v>
      </c>
      <c r="E140" s="102">
        <v>50010551</v>
      </c>
      <c r="F140" s="103" t="s">
        <v>114</v>
      </c>
      <c r="G140" s="102"/>
      <c r="H140" s="101">
        <v>500</v>
      </c>
      <c r="I140" s="101">
        <v>700</v>
      </c>
      <c r="J140" s="101">
        <v>300</v>
      </c>
      <c r="K140" s="101" t="s">
        <v>34</v>
      </c>
      <c r="L140" s="101" t="s">
        <v>34</v>
      </c>
      <c r="M140" s="89" t="s">
        <v>34</v>
      </c>
      <c r="N140" s="88" t="s">
        <v>36</v>
      </c>
      <c r="O140" s="104" t="e">
        <f>VLOOKUP(E140,'[2]STOCK  19.09.2017'!$F$6:$I$233,4,0)</f>
        <v>#N/A</v>
      </c>
    </row>
    <row r="141" spans="1:15" ht="18.75" customHeight="1">
      <c r="A141" s="85">
        <v>186</v>
      </c>
      <c r="B141" s="102" t="s">
        <v>33</v>
      </c>
      <c r="C141" s="93">
        <v>100495</v>
      </c>
      <c r="D141" s="94" t="s">
        <v>273</v>
      </c>
      <c r="E141" s="102">
        <v>50001964</v>
      </c>
      <c r="F141" s="103" t="s">
        <v>115</v>
      </c>
      <c r="G141" s="102"/>
      <c r="H141" s="101" t="s">
        <v>34</v>
      </c>
      <c r="I141" s="101" t="s">
        <v>34</v>
      </c>
      <c r="J141" s="101" t="s">
        <v>34</v>
      </c>
      <c r="K141" s="101" t="s">
        <v>34</v>
      </c>
      <c r="L141" s="101" t="s">
        <v>34</v>
      </c>
      <c r="M141" s="101" t="s">
        <v>34</v>
      </c>
      <c r="N141" s="88" t="s">
        <v>36</v>
      </c>
      <c r="O141" s="104">
        <f>VLOOKUP(E141,'[2]STOCK  19.09.2017'!$F$6:$I$233,4,0)</f>
        <v>141</v>
      </c>
    </row>
    <row r="142" spans="1:15" ht="18.75" customHeight="1">
      <c r="A142" s="85">
        <v>187</v>
      </c>
      <c r="B142" s="102" t="s">
        <v>33</v>
      </c>
      <c r="C142" s="93">
        <v>100495</v>
      </c>
      <c r="D142" s="94" t="s">
        <v>273</v>
      </c>
      <c r="E142" s="102">
        <v>50001977</v>
      </c>
      <c r="F142" s="103" t="s">
        <v>116</v>
      </c>
      <c r="G142" s="102"/>
      <c r="H142" s="101" t="s">
        <v>34</v>
      </c>
      <c r="I142" s="101" t="s">
        <v>34</v>
      </c>
      <c r="J142" s="101" t="s">
        <v>34</v>
      </c>
      <c r="K142" s="101" t="s">
        <v>34</v>
      </c>
      <c r="L142" s="101" t="s">
        <v>34</v>
      </c>
      <c r="M142" s="101" t="s">
        <v>34</v>
      </c>
      <c r="N142" s="88" t="s">
        <v>36</v>
      </c>
      <c r="O142" s="104" t="e">
        <f>VLOOKUP(E142,'[2]STOCK  19.09.2017'!$F$6:$I$233,4,0)</f>
        <v>#N/A</v>
      </c>
    </row>
    <row r="143" spans="1:15" ht="18.75" customHeight="1">
      <c r="A143" s="85">
        <v>188</v>
      </c>
      <c r="B143" s="102" t="s">
        <v>33</v>
      </c>
      <c r="C143" s="93">
        <v>100495</v>
      </c>
      <c r="D143" s="94" t="s">
        <v>273</v>
      </c>
      <c r="E143" s="102">
        <v>50001991</v>
      </c>
      <c r="F143" s="103" t="s">
        <v>117</v>
      </c>
      <c r="G143" s="102"/>
      <c r="H143" s="101" t="s">
        <v>34</v>
      </c>
      <c r="I143" s="101" t="s">
        <v>34</v>
      </c>
      <c r="J143" s="101" t="s">
        <v>34</v>
      </c>
      <c r="K143" s="101" t="s">
        <v>34</v>
      </c>
      <c r="L143" s="101" t="s">
        <v>34</v>
      </c>
      <c r="M143" s="101" t="s">
        <v>34</v>
      </c>
      <c r="N143" s="88" t="s">
        <v>36</v>
      </c>
      <c r="O143" s="104" t="e">
        <f>VLOOKUP(E143,'[2]STOCK  19.09.2017'!$F$6:$I$233,4,0)</f>
        <v>#N/A</v>
      </c>
    </row>
    <row r="144" spans="1:15" ht="18.75" customHeight="1">
      <c r="A144" s="85">
        <v>189</v>
      </c>
      <c r="B144" s="102" t="s">
        <v>33</v>
      </c>
      <c r="C144" s="93">
        <v>100495</v>
      </c>
      <c r="D144" s="94" t="s">
        <v>273</v>
      </c>
      <c r="E144" s="102">
        <v>50002003</v>
      </c>
      <c r="F144" s="103" t="s">
        <v>118</v>
      </c>
      <c r="G144" s="102"/>
      <c r="H144" s="101">
        <v>20</v>
      </c>
      <c r="I144" s="101">
        <v>20</v>
      </c>
      <c r="J144" s="101" t="s">
        <v>34</v>
      </c>
      <c r="K144" s="101" t="s">
        <v>34</v>
      </c>
      <c r="L144" s="101" t="s">
        <v>34</v>
      </c>
      <c r="M144" s="101" t="s">
        <v>34</v>
      </c>
      <c r="N144" s="88" t="s">
        <v>36</v>
      </c>
      <c r="O144" s="104" t="e">
        <f>VLOOKUP(E144,'[2]STOCK  19.09.2017'!$F$6:$I$233,4,0)</f>
        <v>#N/A</v>
      </c>
    </row>
    <row r="145" spans="1:15" ht="18.75" customHeight="1">
      <c r="A145" s="85">
        <v>190</v>
      </c>
      <c r="B145" s="102" t="s">
        <v>33</v>
      </c>
      <c r="C145" s="93">
        <v>100495</v>
      </c>
      <c r="D145" s="94" t="s">
        <v>273</v>
      </c>
      <c r="E145" s="102">
        <v>50002221</v>
      </c>
      <c r="F145" s="103" t="s">
        <v>119</v>
      </c>
      <c r="G145" s="102"/>
      <c r="H145" s="101" t="s">
        <v>34</v>
      </c>
      <c r="I145" s="101" t="s">
        <v>34</v>
      </c>
      <c r="J145" s="101" t="s">
        <v>34</v>
      </c>
      <c r="K145" s="101" t="s">
        <v>34</v>
      </c>
      <c r="L145" s="101" t="s">
        <v>34</v>
      </c>
      <c r="M145" s="101" t="s">
        <v>34</v>
      </c>
      <c r="N145" s="88" t="s">
        <v>36</v>
      </c>
      <c r="O145" s="104" t="e">
        <f>VLOOKUP(E145,'[2]STOCK  19.09.2017'!$F$6:$I$233,4,0)</f>
        <v>#N/A</v>
      </c>
    </row>
    <row r="146" spans="1:15" ht="18.75" customHeight="1">
      <c r="A146" s="85">
        <v>191</v>
      </c>
      <c r="B146" s="102" t="s">
        <v>33</v>
      </c>
      <c r="C146" s="93">
        <v>100495</v>
      </c>
      <c r="D146" s="94" t="s">
        <v>273</v>
      </c>
      <c r="E146" s="102">
        <v>50002226</v>
      </c>
      <c r="F146" s="103" t="s">
        <v>120</v>
      </c>
      <c r="G146" s="102"/>
      <c r="H146" s="101" t="s">
        <v>34</v>
      </c>
      <c r="I146" s="101" t="s">
        <v>34</v>
      </c>
      <c r="J146" s="101" t="s">
        <v>34</v>
      </c>
      <c r="K146" s="101" t="s">
        <v>34</v>
      </c>
      <c r="L146" s="101" t="s">
        <v>34</v>
      </c>
      <c r="M146" s="101" t="s">
        <v>34</v>
      </c>
      <c r="N146" s="88" t="s">
        <v>36</v>
      </c>
      <c r="O146" s="104" t="e">
        <f>VLOOKUP(E146,'[2]STOCK  19.09.2017'!$F$6:$I$233,4,0)</f>
        <v>#N/A</v>
      </c>
    </row>
    <row r="147" spans="1:15" ht="18.75" customHeight="1">
      <c r="A147" s="85">
        <v>192</v>
      </c>
      <c r="B147" s="102" t="s">
        <v>33</v>
      </c>
      <c r="C147" s="93">
        <v>100495</v>
      </c>
      <c r="D147" s="94" t="s">
        <v>273</v>
      </c>
      <c r="E147" s="102">
        <v>50002229</v>
      </c>
      <c r="F147" s="103" t="s">
        <v>121</v>
      </c>
      <c r="G147" s="102"/>
      <c r="H147" s="101" t="s">
        <v>34</v>
      </c>
      <c r="I147" s="101" t="s">
        <v>34</v>
      </c>
      <c r="J147" s="101" t="s">
        <v>34</v>
      </c>
      <c r="K147" s="101" t="s">
        <v>34</v>
      </c>
      <c r="L147" s="101" t="s">
        <v>34</v>
      </c>
      <c r="M147" s="101" t="s">
        <v>34</v>
      </c>
      <c r="N147" s="88" t="s">
        <v>36</v>
      </c>
      <c r="O147" s="104" t="e">
        <f>VLOOKUP(E147,'[2]STOCK  19.09.2017'!$F$6:$I$233,4,0)</f>
        <v>#N/A</v>
      </c>
    </row>
    <row r="148" spans="1:15" ht="18.75" customHeight="1">
      <c r="A148" s="85">
        <v>193</v>
      </c>
      <c r="B148" s="102" t="s">
        <v>33</v>
      </c>
      <c r="C148" s="93">
        <v>100495</v>
      </c>
      <c r="D148" s="94" t="s">
        <v>273</v>
      </c>
      <c r="E148" s="102">
        <v>50002231</v>
      </c>
      <c r="F148" s="103" t="s">
        <v>122</v>
      </c>
      <c r="G148" s="102"/>
      <c r="H148" s="101" t="s">
        <v>34</v>
      </c>
      <c r="I148" s="101" t="s">
        <v>34</v>
      </c>
      <c r="J148" s="101" t="s">
        <v>34</v>
      </c>
      <c r="K148" s="101" t="s">
        <v>34</v>
      </c>
      <c r="L148" s="101" t="s">
        <v>34</v>
      </c>
      <c r="M148" s="101" t="s">
        <v>34</v>
      </c>
      <c r="N148" s="88" t="s">
        <v>36</v>
      </c>
      <c r="O148" s="104" t="e">
        <f>VLOOKUP(E148,'[2]STOCK  19.09.2017'!$F$6:$I$233,4,0)</f>
        <v>#N/A</v>
      </c>
    </row>
    <row r="149" spans="1:15" ht="18.75" customHeight="1">
      <c r="A149" s="85">
        <v>194</v>
      </c>
      <c r="B149" s="102" t="s">
        <v>33</v>
      </c>
      <c r="C149" s="93">
        <v>100495</v>
      </c>
      <c r="D149" s="94" t="s">
        <v>273</v>
      </c>
      <c r="E149" s="102">
        <v>50002233</v>
      </c>
      <c r="F149" s="103" t="s">
        <v>123</v>
      </c>
      <c r="G149" s="102"/>
      <c r="H149" s="101" t="s">
        <v>34</v>
      </c>
      <c r="I149" s="101" t="s">
        <v>34</v>
      </c>
      <c r="J149" s="101" t="s">
        <v>34</v>
      </c>
      <c r="K149" s="101" t="s">
        <v>34</v>
      </c>
      <c r="L149" s="101" t="s">
        <v>34</v>
      </c>
      <c r="M149" s="101" t="s">
        <v>34</v>
      </c>
      <c r="N149" s="88" t="s">
        <v>36</v>
      </c>
      <c r="O149" s="104">
        <f>VLOOKUP(E149,'[2]STOCK  19.09.2017'!$F$6:$I$233,4,0)</f>
        <v>180</v>
      </c>
    </row>
    <row r="150" spans="1:15" ht="18.75" customHeight="1">
      <c r="A150" s="85">
        <v>195</v>
      </c>
      <c r="B150" s="102" t="s">
        <v>33</v>
      </c>
      <c r="C150" s="93">
        <v>100495</v>
      </c>
      <c r="D150" s="94" t="s">
        <v>273</v>
      </c>
      <c r="E150" s="90">
        <v>50002259</v>
      </c>
      <c r="F150" s="105" t="s">
        <v>124</v>
      </c>
      <c r="G150" s="102"/>
      <c r="H150" s="101" t="s">
        <v>34</v>
      </c>
      <c r="I150" s="101" t="s">
        <v>34</v>
      </c>
      <c r="J150" s="101" t="s">
        <v>34</v>
      </c>
      <c r="K150" s="101" t="s">
        <v>34</v>
      </c>
      <c r="L150" s="101" t="s">
        <v>34</v>
      </c>
      <c r="M150" s="101" t="s">
        <v>34</v>
      </c>
      <c r="N150" s="88" t="s">
        <v>36</v>
      </c>
      <c r="O150" s="104">
        <f>VLOOKUP(E150,'[2]STOCK  19.09.2017'!$F$6:$I$233,4,0)</f>
        <v>100</v>
      </c>
    </row>
    <row r="151" spans="1:15" ht="18.75" customHeight="1">
      <c r="A151" s="85">
        <v>196</v>
      </c>
      <c r="B151" s="102" t="s">
        <v>33</v>
      </c>
      <c r="C151" s="93">
        <v>100495</v>
      </c>
      <c r="D151" s="94" t="s">
        <v>273</v>
      </c>
      <c r="E151" s="102">
        <v>50002262</v>
      </c>
      <c r="F151" s="103" t="s">
        <v>125</v>
      </c>
      <c r="G151" s="102"/>
      <c r="H151" s="101" t="s">
        <v>34</v>
      </c>
      <c r="I151" s="101" t="s">
        <v>34</v>
      </c>
      <c r="J151" s="101" t="s">
        <v>34</v>
      </c>
      <c r="K151" s="101" t="s">
        <v>34</v>
      </c>
      <c r="L151" s="101" t="s">
        <v>34</v>
      </c>
      <c r="M151" s="101" t="s">
        <v>34</v>
      </c>
      <c r="N151" s="88" t="s">
        <v>36</v>
      </c>
      <c r="O151" s="104" t="e">
        <f>VLOOKUP(E151,'[2]STOCK  19.09.2017'!$F$6:$I$233,4,0)</f>
        <v>#N/A</v>
      </c>
    </row>
    <row r="152" spans="1:15" ht="18.75" customHeight="1">
      <c r="A152" s="85">
        <v>197</v>
      </c>
      <c r="B152" s="102" t="s">
        <v>33</v>
      </c>
      <c r="C152" s="93">
        <v>100495</v>
      </c>
      <c r="D152" s="94" t="s">
        <v>273</v>
      </c>
      <c r="E152" s="90">
        <v>50002263</v>
      </c>
      <c r="F152" s="105" t="s">
        <v>126</v>
      </c>
      <c r="G152" s="102"/>
      <c r="H152" s="101" t="s">
        <v>34</v>
      </c>
      <c r="I152" s="101" t="s">
        <v>34</v>
      </c>
      <c r="J152" s="101" t="s">
        <v>34</v>
      </c>
      <c r="K152" s="101" t="s">
        <v>34</v>
      </c>
      <c r="L152" s="101" t="s">
        <v>34</v>
      </c>
      <c r="M152" s="101" t="s">
        <v>34</v>
      </c>
      <c r="N152" s="88" t="s">
        <v>36</v>
      </c>
      <c r="O152" s="104">
        <f>VLOOKUP(E152,'[2]STOCK  19.09.2017'!$F$6:$I$233,4,0)</f>
        <v>100</v>
      </c>
    </row>
    <row r="153" spans="1:15" ht="18.75" customHeight="1">
      <c r="A153" s="85">
        <v>198</v>
      </c>
      <c r="B153" s="102" t="s">
        <v>33</v>
      </c>
      <c r="C153" s="93">
        <v>100495</v>
      </c>
      <c r="D153" s="94" t="s">
        <v>273</v>
      </c>
      <c r="E153" s="102">
        <v>50002314</v>
      </c>
      <c r="F153" s="103" t="s">
        <v>127</v>
      </c>
      <c r="G153" s="102"/>
      <c r="H153" s="101" t="s">
        <v>34</v>
      </c>
      <c r="I153" s="101" t="s">
        <v>34</v>
      </c>
      <c r="J153" s="101" t="s">
        <v>34</v>
      </c>
      <c r="K153" s="101" t="s">
        <v>34</v>
      </c>
      <c r="L153" s="101" t="s">
        <v>34</v>
      </c>
      <c r="M153" s="101" t="s">
        <v>34</v>
      </c>
      <c r="N153" s="88" t="s">
        <v>36</v>
      </c>
      <c r="O153" s="104" t="e">
        <f>VLOOKUP(E153,'[2]STOCK  19.09.2017'!$F$6:$I$233,4,0)</f>
        <v>#N/A</v>
      </c>
    </row>
    <row r="154" spans="1:15" ht="18.75" customHeight="1">
      <c r="A154" s="85">
        <v>199</v>
      </c>
      <c r="B154" s="102" t="s">
        <v>33</v>
      </c>
      <c r="C154" s="93">
        <v>100495</v>
      </c>
      <c r="D154" s="94" t="s">
        <v>273</v>
      </c>
      <c r="E154" s="90">
        <v>50002318</v>
      </c>
      <c r="F154" s="105" t="s">
        <v>128</v>
      </c>
      <c r="G154" s="102"/>
      <c r="H154" s="101" t="s">
        <v>34</v>
      </c>
      <c r="I154" s="101" t="s">
        <v>34</v>
      </c>
      <c r="J154" s="101" t="s">
        <v>34</v>
      </c>
      <c r="K154" s="101" t="s">
        <v>34</v>
      </c>
      <c r="L154" s="101" t="s">
        <v>34</v>
      </c>
      <c r="M154" s="101" t="s">
        <v>34</v>
      </c>
      <c r="N154" s="88" t="s">
        <v>36</v>
      </c>
      <c r="O154" s="104">
        <f>VLOOKUP(E154,'[2]STOCK  19.09.2017'!$F$6:$I$233,4,0)</f>
        <v>50</v>
      </c>
    </row>
    <row r="155" spans="1:15" ht="18.75" customHeight="1">
      <c r="A155" s="85">
        <v>200</v>
      </c>
      <c r="B155" s="102" t="s">
        <v>33</v>
      </c>
      <c r="C155" s="93">
        <v>100495</v>
      </c>
      <c r="D155" s="94" t="s">
        <v>273</v>
      </c>
      <c r="E155" s="102">
        <v>50002338</v>
      </c>
      <c r="F155" s="103" t="s">
        <v>129</v>
      </c>
      <c r="G155" s="102"/>
      <c r="H155" s="101" t="s">
        <v>34</v>
      </c>
      <c r="I155" s="101" t="s">
        <v>34</v>
      </c>
      <c r="J155" s="101" t="s">
        <v>34</v>
      </c>
      <c r="K155" s="101" t="s">
        <v>34</v>
      </c>
      <c r="L155" s="101" t="s">
        <v>34</v>
      </c>
      <c r="M155" s="101" t="s">
        <v>34</v>
      </c>
      <c r="N155" s="88" t="s">
        <v>36</v>
      </c>
      <c r="O155" s="104">
        <f>VLOOKUP(E155,'[2]STOCK  19.09.2017'!$F$6:$I$233,4,0)</f>
        <v>98.888000000000005</v>
      </c>
    </row>
    <row r="156" spans="1:15" ht="18.75" customHeight="1">
      <c r="A156" s="85">
        <v>201</v>
      </c>
      <c r="B156" s="102" t="s">
        <v>33</v>
      </c>
      <c r="C156" s="93">
        <v>100495</v>
      </c>
      <c r="D156" s="94" t="s">
        <v>273</v>
      </c>
      <c r="E156" s="102">
        <v>50002355</v>
      </c>
      <c r="F156" s="103" t="s">
        <v>130</v>
      </c>
      <c r="G156" s="102"/>
      <c r="H156" s="101" t="s">
        <v>34</v>
      </c>
      <c r="I156" s="101" t="s">
        <v>34</v>
      </c>
      <c r="J156" s="101" t="s">
        <v>34</v>
      </c>
      <c r="K156" s="101" t="s">
        <v>34</v>
      </c>
      <c r="L156" s="101" t="s">
        <v>34</v>
      </c>
      <c r="M156" s="101" t="s">
        <v>34</v>
      </c>
      <c r="N156" s="88" t="s">
        <v>36</v>
      </c>
      <c r="O156" s="104" t="e">
        <f>VLOOKUP(E156,'[2]STOCK  19.09.2017'!$F$6:$I$233,4,0)</f>
        <v>#N/A</v>
      </c>
    </row>
    <row r="157" spans="1:15" ht="18.75" customHeight="1">
      <c r="A157" s="85">
        <v>202</v>
      </c>
      <c r="B157" s="102" t="s">
        <v>33</v>
      </c>
      <c r="C157" s="93">
        <v>100495</v>
      </c>
      <c r="D157" s="94" t="s">
        <v>273</v>
      </c>
      <c r="E157" s="102">
        <v>50002356</v>
      </c>
      <c r="F157" s="103" t="s">
        <v>131</v>
      </c>
      <c r="G157" s="102"/>
      <c r="H157" s="101" t="s">
        <v>34</v>
      </c>
      <c r="I157" s="101" t="s">
        <v>34</v>
      </c>
      <c r="J157" s="101" t="s">
        <v>34</v>
      </c>
      <c r="K157" s="101" t="s">
        <v>34</v>
      </c>
      <c r="L157" s="101" t="s">
        <v>34</v>
      </c>
      <c r="M157" s="101" t="s">
        <v>34</v>
      </c>
      <c r="N157" s="88" t="s">
        <v>36</v>
      </c>
      <c r="O157" s="104" t="e">
        <f>VLOOKUP(E157,'[2]STOCK  19.09.2017'!$F$6:$I$233,4,0)</f>
        <v>#N/A</v>
      </c>
    </row>
    <row r="158" spans="1:15" ht="18.75" customHeight="1">
      <c r="A158" s="85">
        <v>203</v>
      </c>
      <c r="B158" s="102" t="s">
        <v>33</v>
      </c>
      <c r="C158" s="93">
        <v>100495</v>
      </c>
      <c r="D158" s="94" t="s">
        <v>273</v>
      </c>
      <c r="E158" s="102">
        <v>50002368</v>
      </c>
      <c r="F158" s="103" t="s">
        <v>132</v>
      </c>
      <c r="G158" s="102"/>
      <c r="H158" s="101" t="s">
        <v>34</v>
      </c>
      <c r="I158" s="101" t="s">
        <v>34</v>
      </c>
      <c r="J158" s="101" t="s">
        <v>34</v>
      </c>
      <c r="K158" s="101" t="s">
        <v>34</v>
      </c>
      <c r="L158" s="101" t="s">
        <v>34</v>
      </c>
      <c r="M158" s="101" t="s">
        <v>34</v>
      </c>
      <c r="N158" s="88" t="s">
        <v>36</v>
      </c>
      <c r="O158" s="104" t="e">
        <f>VLOOKUP(E158,'[2]STOCK  19.09.2017'!$F$6:$I$233,4,0)</f>
        <v>#N/A</v>
      </c>
    </row>
    <row r="159" spans="1:15" ht="18.75" customHeight="1">
      <c r="A159" s="85">
        <v>204</v>
      </c>
      <c r="B159" s="102" t="s">
        <v>33</v>
      </c>
      <c r="C159" s="93">
        <v>100495</v>
      </c>
      <c r="D159" s="94" t="s">
        <v>273</v>
      </c>
      <c r="E159" s="102">
        <v>50002411</v>
      </c>
      <c r="F159" s="103" t="s">
        <v>133</v>
      </c>
      <c r="G159" s="102"/>
      <c r="H159" s="101" t="s">
        <v>34</v>
      </c>
      <c r="I159" s="101" t="s">
        <v>34</v>
      </c>
      <c r="J159" s="101" t="s">
        <v>34</v>
      </c>
      <c r="K159" s="101" t="s">
        <v>34</v>
      </c>
      <c r="L159" s="101" t="s">
        <v>34</v>
      </c>
      <c r="M159" s="101" t="s">
        <v>34</v>
      </c>
      <c r="N159" s="88" t="s">
        <v>36</v>
      </c>
      <c r="O159" s="104" t="e">
        <f>VLOOKUP(E159,'[2]STOCK  19.09.2017'!$F$6:$I$233,4,0)</f>
        <v>#N/A</v>
      </c>
    </row>
    <row r="160" spans="1:15" ht="18.75" customHeight="1">
      <c r="A160" s="85">
        <v>205</v>
      </c>
      <c r="B160" s="102" t="s">
        <v>33</v>
      </c>
      <c r="C160" s="93">
        <v>100495</v>
      </c>
      <c r="D160" s="94" t="s">
        <v>273</v>
      </c>
      <c r="E160" s="102">
        <v>50003085</v>
      </c>
      <c r="F160" s="103" t="s">
        <v>134</v>
      </c>
      <c r="G160" s="102"/>
      <c r="H160" s="101" t="s">
        <v>34</v>
      </c>
      <c r="I160" s="101" t="s">
        <v>34</v>
      </c>
      <c r="J160" s="101" t="s">
        <v>34</v>
      </c>
      <c r="K160" s="101" t="s">
        <v>34</v>
      </c>
      <c r="L160" s="101" t="s">
        <v>34</v>
      </c>
      <c r="M160" s="101" t="s">
        <v>34</v>
      </c>
      <c r="N160" s="88" t="s">
        <v>36</v>
      </c>
      <c r="O160" s="104" t="e">
        <f>VLOOKUP(E160,'[2]STOCK  19.09.2017'!$F$6:$I$233,4,0)</f>
        <v>#N/A</v>
      </c>
    </row>
    <row r="161" spans="1:15" ht="18.75" customHeight="1">
      <c r="A161" s="85">
        <v>206</v>
      </c>
      <c r="B161" s="102" t="s">
        <v>33</v>
      </c>
      <c r="C161" s="93">
        <v>100495</v>
      </c>
      <c r="D161" s="94" t="s">
        <v>273</v>
      </c>
      <c r="E161" s="102">
        <v>50004145</v>
      </c>
      <c r="F161" s="103" t="s">
        <v>135</v>
      </c>
      <c r="G161" s="102"/>
      <c r="H161" s="101" t="s">
        <v>34</v>
      </c>
      <c r="I161" s="101" t="s">
        <v>34</v>
      </c>
      <c r="J161" s="101" t="s">
        <v>34</v>
      </c>
      <c r="K161" s="101" t="s">
        <v>34</v>
      </c>
      <c r="L161" s="101" t="s">
        <v>34</v>
      </c>
      <c r="M161" s="101" t="s">
        <v>34</v>
      </c>
      <c r="N161" s="88" t="s">
        <v>36</v>
      </c>
      <c r="O161" s="104" t="e">
        <f>VLOOKUP(E161,'[2]STOCK  19.09.2017'!$F$6:$I$233,4,0)</f>
        <v>#N/A</v>
      </c>
    </row>
    <row r="162" spans="1:15" ht="18.75" customHeight="1">
      <c r="A162" s="85">
        <v>207</v>
      </c>
      <c r="B162" s="102" t="s">
        <v>33</v>
      </c>
      <c r="C162" s="93">
        <v>100495</v>
      </c>
      <c r="D162" s="94" t="s">
        <v>273</v>
      </c>
      <c r="E162" s="102">
        <v>50004209</v>
      </c>
      <c r="F162" s="103" t="s">
        <v>136</v>
      </c>
      <c r="G162" s="102"/>
      <c r="H162" s="101" t="s">
        <v>34</v>
      </c>
      <c r="I162" s="101" t="s">
        <v>34</v>
      </c>
      <c r="J162" s="101" t="s">
        <v>34</v>
      </c>
      <c r="K162" s="101" t="s">
        <v>34</v>
      </c>
      <c r="L162" s="101" t="s">
        <v>34</v>
      </c>
      <c r="M162" s="101" t="s">
        <v>34</v>
      </c>
      <c r="N162" s="88" t="s">
        <v>36</v>
      </c>
      <c r="O162" s="104" t="e">
        <f>VLOOKUP(E162,'[2]STOCK  19.09.2017'!$F$6:$I$233,4,0)</f>
        <v>#N/A</v>
      </c>
    </row>
    <row r="163" spans="1:15" ht="18.75" customHeight="1">
      <c r="A163" s="85">
        <v>208</v>
      </c>
      <c r="B163" s="102" t="s">
        <v>33</v>
      </c>
      <c r="C163" s="93">
        <v>100495</v>
      </c>
      <c r="D163" s="94" t="s">
        <v>273</v>
      </c>
      <c r="E163" s="102">
        <v>50004638</v>
      </c>
      <c r="F163" s="103" t="s">
        <v>137</v>
      </c>
      <c r="G163" s="102"/>
      <c r="H163" s="101" t="s">
        <v>34</v>
      </c>
      <c r="I163" s="101" t="s">
        <v>34</v>
      </c>
      <c r="J163" s="101" t="s">
        <v>34</v>
      </c>
      <c r="K163" s="101" t="s">
        <v>34</v>
      </c>
      <c r="L163" s="101" t="s">
        <v>34</v>
      </c>
      <c r="M163" s="101" t="s">
        <v>34</v>
      </c>
      <c r="N163" s="88" t="s">
        <v>36</v>
      </c>
      <c r="O163" s="104" t="e">
        <f>VLOOKUP(E163,'[2]STOCK  19.09.2017'!$F$6:$I$233,4,0)</f>
        <v>#N/A</v>
      </c>
    </row>
    <row r="164" spans="1:15" ht="18.75" customHeight="1">
      <c r="A164" s="85">
        <v>209</v>
      </c>
      <c r="B164" s="102" t="s">
        <v>33</v>
      </c>
      <c r="C164" s="93">
        <v>100495</v>
      </c>
      <c r="D164" s="94" t="s">
        <v>273</v>
      </c>
      <c r="E164" s="102">
        <v>50008265</v>
      </c>
      <c r="F164" s="103" t="s">
        <v>138</v>
      </c>
      <c r="G164" s="102"/>
      <c r="H164" s="101">
        <v>400</v>
      </c>
      <c r="I164" s="101">
        <v>400</v>
      </c>
      <c r="J164" s="101">
        <v>300</v>
      </c>
      <c r="K164" s="101">
        <v>700</v>
      </c>
      <c r="L164" s="101" t="s">
        <v>34</v>
      </c>
      <c r="M164" s="101" t="s">
        <v>34</v>
      </c>
      <c r="N164" s="88" t="s">
        <v>36</v>
      </c>
      <c r="O164" s="104">
        <f>VLOOKUP(E164,'[2]STOCK  19.09.2017'!$F$6:$I$233,4,0)</f>
        <v>200</v>
      </c>
    </row>
    <row r="165" spans="1:15" ht="18.75" customHeight="1">
      <c r="A165" s="85">
        <v>210</v>
      </c>
      <c r="B165" s="102" t="s">
        <v>33</v>
      </c>
      <c r="C165" s="93">
        <v>100495</v>
      </c>
      <c r="D165" s="94" t="s">
        <v>273</v>
      </c>
      <c r="E165" s="102">
        <v>50008268</v>
      </c>
      <c r="F165" s="103" t="s">
        <v>139</v>
      </c>
      <c r="G165" s="102"/>
      <c r="H165" s="101">
        <v>500</v>
      </c>
      <c r="I165" s="101">
        <v>300</v>
      </c>
      <c r="J165" s="101">
        <v>400</v>
      </c>
      <c r="K165" s="101">
        <v>600</v>
      </c>
      <c r="L165" s="101" t="s">
        <v>34</v>
      </c>
      <c r="M165" s="101" t="s">
        <v>34</v>
      </c>
      <c r="N165" s="88" t="s">
        <v>36</v>
      </c>
      <c r="O165" s="104">
        <f>VLOOKUP(E165,'[2]STOCK  19.09.2017'!$F$6:$I$233,4,0)</f>
        <v>0</v>
      </c>
    </row>
    <row r="166" spans="1:15" ht="18.75" customHeight="1">
      <c r="A166" s="85">
        <v>211</v>
      </c>
      <c r="B166" s="102" t="s">
        <v>33</v>
      </c>
      <c r="C166" s="93">
        <v>100495</v>
      </c>
      <c r="D166" s="94" t="s">
        <v>273</v>
      </c>
      <c r="E166" s="102">
        <v>50008273</v>
      </c>
      <c r="F166" s="103" t="s">
        <v>140</v>
      </c>
      <c r="G166" s="102"/>
      <c r="H166" s="101">
        <v>1100</v>
      </c>
      <c r="I166" s="101">
        <v>1200</v>
      </c>
      <c r="J166" s="101">
        <v>1500</v>
      </c>
      <c r="K166" s="101">
        <v>1700</v>
      </c>
      <c r="L166" s="101">
        <v>1200</v>
      </c>
      <c r="M166" s="101" t="s">
        <v>34</v>
      </c>
      <c r="N166" s="88" t="s">
        <v>36</v>
      </c>
      <c r="O166" s="104">
        <f>VLOOKUP(E166,'[2]STOCK  19.09.2017'!$F$6:$I$233,4,0)</f>
        <v>400</v>
      </c>
    </row>
    <row r="167" spans="1:15" ht="18.75" customHeight="1">
      <c r="A167" s="85">
        <v>212</v>
      </c>
      <c r="B167" s="102" t="s">
        <v>33</v>
      </c>
      <c r="C167" s="93">
        <v>100495</v>
      </c>
      <c r="D167" s="94" t="s">
        <v>273</v>
      </c>
      <c r="E167" s="102">
        <v>50008974</v>
      </c>
      <c r="F167" s="103" t="s">
        <v>141</v>
      </c>
      <c r="G167" s="102"/>
      <c r="H167" s="101">
        <v>2400</v>
      </c>
      <c r="I167" s="101">
        <v>2700</v>
      </c>
      <c r="J167" s="101">
        <v>2400</v>
      </c>
      <c r="K167" s="101">
        <v>2600</v>
      </c>
      <c r="L167" s="101">
        <v>1200</v>
      </c>
      <c r="M167" s="101" t="s">
        <v>34</v>
      </c>
      <c r="N167" s="88" t="s">
        <v>36</v>
      </c>
      <c r="O167" s="104">
        <f>VLOOKUP(E167,'[2]STOCK  19.09.2017'!$F$6:$I$233,4,0)</f>
        <v>1000</v>
      </c>
    </row>
    <row r="168" spans="1:15" ht="18.75" customHeight="1">
      <c r="A168" s="85">
        <v>213</v>
      </c>
      <c r="B168" s="102" t="s">
        <v>33</v>
      </c>
      <c r="C168" s="93">
        <v>100495</v>
      </c>
      <c r="D168" s="94" t="s">
        <v>273</v>
      </c>
      <c r="E168" s="102">
        <v>50009041</v>
      </c>
      <c r="F168" s="103" t="s">
        <v>142</v>
      </c>
      <c r="G168" s="102"/>
      <c r="H168" s="101" t="s">
        <v>34</v>
      </c>
      <c r="I168" s="101" t="s">
        <v>34</v>
      </c>
      <c r="J168" s="101" t="s">
        <v>34</v>
      </c>
      <c r="K168" s="101" t="s">
        <v>34</v>
      </c>
      <c r="L168" s="101" t="s">
        <v>34</v>
      </c>
      <c r="M168" s="101" t="s">
        <v>34</v>
      </c>
      <c r="N168" s="88" t="s">
        <v>36</v>
      </c>
      <c r="O168" s="104">
        <f>VLOOKUP(E168,'[2]STOCK  19.09.2017'!$F$6:$I$233,4,0)</f>
        <v>100</v>
      </c>
    </row>
    <row r="169" spans="1:15" ht="18.75" customHeight="1">
      <c r="A169" s="85">
        <v>214</v>
      </c>
      <c r="B169" s="102" t="s">
        <v>33</v>
      </c>
      <c r="C169" s="93">
        <v>100495</v>
      </c>
      <c r="D169" s="94" t="s">
        <v>273</v>
      </c>
      <c r="E169" s="102">
        <v>50009045</v>
      </c>
      <c r="F169" s="103" t="s">
        <v>143</v>
      </c>
      <c r="G169" s="102"/>
      <c r="H169" s="101" t="s">
        <v>34</v>
      </c>
      <c r="I169" s="101" t="s">
        <v>34</v>
      </c>
      <c r="J169" s="101" t="s">
        <v>34</v>
      </c>
      <c r="K169" s="101" t="s">
        <v>34</v>
      </c>
      <c r="L169" s="101" t="s">
        <v>34</v>
      </c>
      <c r="M169" s="101" t="s">
        <v>34</v>
      </c>
      <c r="N169" s="88" t="s">
        <v>36</v>
      </c>
      <c r="O169" s="104" t="e">
        <f>VLOOKUP(E169,'[2]STOCK  19.09.2017'!$F$6:$I$233,4,0)</f>
        <v>#N/A</v>
      </c>
    </row>
    <row r="170" spans="1:15" ht="18.75" customHeight="1">
      <c r="A170" s="85">
        <v>215</v>
      </c>
      <c r="B170" s="102" t="s">
        <v>33</v>
      </c>
      <c r="C170" s="93">
        <v>100495</v>
      </c>
      <c r="D170" s="94" t="s">
        <v>273</v>
      </c>
      <c r="E170" s="102">
        <v>50009047</v>
      </c>
      <c r="F170" s="103" t="s">
        <v>144</v>
      </c>
      <c r="G170" s="102"/>
      <c r="H170" s="101" t="s">
        <v>34</v>
      </c>
      <c r="I170" s="101" t="s">
        <v>34</v>
      </c>
      <c r="J170" s="101" t="s">
        <v>34</v>
      </c>
      <c r="K170" s="101" t="s">
        <v>34</v>
      </c>
      <c r="L170" s="101" t="s">
        <v>34</v>
      </c>
      <c r="M170" s="101" t="s">
        <v>34</v>
      </c>
      <c r="N170" s="88" t="s">
        <v>36</v>
      </c>
      <c r="O170" s="104" t="e">
        <f>VLOOKUP(E170,'[2]STOCK  19.09.2017'!$F$6:$I$233,4,0)</f>
        <v>#N/A</v>
      </c>
    </row>
    <row r="171" spans="1:15" ht="18.75" customHeight="1">
      <c r="A171" s="85">
        <v>216</v>
      </c>
      <c r="B171" s="102" t="s">
        <v>33</v>
      </c>
      <c r="C171" s="93">
        <v>100495</v>
      </c>
      <c r="D171" s="94" t="s">
        <v>273</v>
      </c>
      <c r="E171" s="102">
        <v>50009268</v>
      </c>
      <c r="F171" s="103" t="s">
        <v>145</v>
      </c>
      <c r="G171" s="102"/>
      <c r="H171" s="101" t="s">
        <v>34</v>
      </c>
      <c r="I171" s="101" t="s">
        <v>34</v>
      </c>
      <c r="J171" s="101" t="s">
        <v>34</v>
      </c>
      <c r="K171" s="101" t="s">
        <v>34</v>
      </c>
      <c r="L171" s="101" t="s">
        <v>34</v>
      </c>
      <c r="M171" s="101" t="s">
        <v>34</v>
      </c>
      <c r="N171" s="88" t="s">
        <v>36</v>
      </c>
      <c r="O171" s="104">
        <f>VLOOKUP(E171,'[2]STOCK  19.09.2017'!$F$6:$I$233,4,0)</f>
        <v>600</v>
      </c>
    </row>
    <row r="172" spans="1:15" ht="18.75" customHeight="1">
      <c r="A172" s="85">
        <v>217</v>
      </c>
      <c r="B172" s="102" t="s">
        <v>33</v>
      </c>
      <c r="C172" s="93">
        <v>100495</v>
      </c>
      <c r="D172" s="94" t="s">
        <v>273</v>
      </c>
      <c r="E172" s="102">
        <v>50010155</v>
      </c>
      <c r="F172" s="103" t="s">
        <v>146</v>
      </c>
      <c r="G172" s="102"/>
      <c r="H172" s="101" t="s">
        <v>34</v>
      </c>
      <c r="I172" s="101" t="s">
        <v>34</v>
      </c>
      <c r="J172" s="101" t="s">
        <v>34</v>
      </c>
      <c r="K172" s="101" t="s">
        <v>34</v>
      </c>
      <c r="L172" s="101" t="s">
        <v>34</v>
      </c>
      <c r="M172" s="101" t="s">
        <v>34</v>
      </c>
      <c r="N172" s="88" t="s">
        <v>36</v>
      </c>
      <c r="O172" s="104" t="e">
        <f>VLOOKUP(E172,'[2]STOCK  19.09.2017'!$F$6:$I$233,4,0)</f>
        <v>#N/A</v>
      </c>
    </row>
    <row r="173" spans="1:15" ht="18.75" customHeight="1">
      <c r="A173" s="85">
        <v>218</v>
      </c>
      <c r="B173" s="102" t="s">
        <v>33</v>
      </c>
      <c r="C173" s="93">
        <v>100495</v>
      </c>
      <c r="D173" s="94" t="s">
        <v>273</v>
      </c>
      <c r="E173" s="102">
        <v>50014417</v>
      </c>
      <c r="F173" s="103" t="s">
        <v>147</v>
      </c>
      <c r="G173" s="102"/>
      <c r="H173" s="101" t="s">
        <v>34</v>
      </c>
      <c r="I173" s="101" t="s">
        <v>34</v>
      </c>
      <c r="J173" s="101" t="s">
        <v>34</v>
      </c>
      <c r="K173" s="101" t="s">
        <v>34</v>
      </c>
      <c r="L173" s="101" t="s">
        <v>34</v>
      </c>
      <c r="M173" s="101" t="s">
        <v>34</v>
      </c>
      <c r="N173" s="88" t="s">
        <v>36</v>
      </c>
      <c r="O173" s="104" t="e">
        <f>VLOOKUP(E173,'[2]STOCK  19.09.2017'!$F$6:$I$233,4,0)</f>
        <v>#N/A</v>
      </c>
    </row>
    <row r="174" spans="1:15" ht="18.75" customHeight="1">
      <c r="A174" s="85">
        <v>219</v>
      </c>
      <c r="B174" s="102" t="s">
        <v>33</v>
      </c>
      <c r="C174" s="86">
        <v>100495</v>
      </c>
      <c r="D174" s="87" t="s">
        <v>273</v>
      </c>
      <c r="E174" s="102">
        <v>50014738</v>
      </c>
      <c r="F174" s="103" t="s">
        <v>148</v>
      </c>
      <c r="G174" s="102"/>
      <c r="H174" s="101" t="s">
        <v>34</v>
      </c>
      <c r="I174" s="101" t="s">
        <v>34</v>
      </c>
      <c r="J174" s="101" t="s">
        <v>34</v>
      </c>
      <c r="K174" s="101" t="s">
        <v>34</v>
      </c>
      <c r="L174" s="101" t="s">
        <v>34</v>
      </c>
      <c r="M174" s="101" t="s">
        <v>34</v>
      </c>
      <c r="N174" s="88" t="s">
        <v>36</v>
      </c>
      <c r="O174" s="104">
        <f>VLOOKUP(E174,'[2]STOCK  19.09.2017'!$F$6:$I$233,4,0)</f>
        <v>797</v>
      </c>
    </row>
    <row r="175" spans="1:15" ht="18.75" customHeight="1">
      <c r="A175" s="85">
        <v>220</v>
      </c>
      <c r="B175" s="102" t="s">
        <v>33</v>
      </c>
      <c r="C175" s="86">
        <v>100495</v>
      </c>
      <c r="D175" s="87" t="s">
        <v>273</v>
      </c>
      <c r="E175" s="102">
        <v>50014739</v>
      </c>
      <c r="F175" s="103" t="s">
        <v>149</v>
      </c>
      <c r="G175" s="102"/>
      <c r="H175" s="101" t="s">
        <v>34</v>
      </c>
      <c r="I175" s="101" t="s">
        <v>34</v>
      </c>
      <c r="J175" s="101" t="s">
        <v>34</v>
      </c>
      <c r="K175" s="101" t="s">
        <v>34</v>
      </c>
      <c r="L175" s="101" t="s">
        <v>34</v>
      </c>
      <c r="M175" s="101" t="s">
        <v>34</v>
      </c>
      <c r="N175" s="88" t="s">
        <v>36</v>
      </c>
      <c r="O175" s="104">
        <f>VLOOKUP(E175,'[2]STOCK  19.09.2017'!$F$6:$I$233,4,0)</f>
        <v>800</v>
      </c>
    </row>
    <row r="176" spans="1:15" ht="18.75" customHeight="1">
      <c r="A176" s="85">
        <v>221</v>
      </c>
      <c r="B176" s="102" t="s">
        <v>33</v>
      </c>
      <c r="C176" s="86">
        <v>100495</v>
      </c>
      <c r="D176" s="87" t="s">
        <v>273</v>
      </c>
      <c r="E176" s="102">
        <v>50010510</v>
      </c>
      <c r="F176" s="103" t="s">
        <v>150</v>
      </c>
      <c r="G176" s="102"/>
      <c r="H176" s="101" t="s">
        <v>34</v>
      </c>
      <c r="I176" s="101" t="s">
        <v>34</v>
      </c>
      <c r="J176" s="101" t="s">
        <v>34</v>
      </c>
      <c r="K176" s="101" t="s">
        <v>34</v>
      </c>
      <c r="L176" s="101" t="s">
        <v>34</v>
      </c>
      <c r="M176" s="101" t="s">
        <v>34</v>
      </c>
      <c r="N176" s="88" t="s">
        <v>36</v>
      </c>
      <c r="O176" s="104" t="e">
        <f>VLOOKUP(E176,'[2]STOCK  19.09.2017'!$F$6:$I$233,4,0)</f>
        <v>#N/A</v>
      </c>
    </row>
    <row r="177" spans="1:15" ht="18.75" customHeight="1">
      <c r="A177" s="85">
        <v>222</v>
      </c>
      <c r="B177" s="102" t="s">
        <v>33</v>
      </c>
      <c r="C177" s="86">
        <v>100495</v>
      </c>
      <c r="D177" s="87" t="s">
        <v>273</v>
      </c>
      <c r="E177" s="90">
        <v>50009210</v>
      </c>
      <c r="F177" s="105" t="s">
        <v>151</v>
      </c>
      <c r="G177" s="102"/>
      <c r="H177" s="101">
        <v>50</v>
      </c>
      <c r="I177" s="101">
        <v>100</v>
      </c>
      <c r="J177" s="101">
        <v>100</v>
      </c>
      <c r="K177" s="101">
        <v>100</v>
      </c>
      <c r="L177" s="101" t="s">
        <v>34</v>
      </c>
      <c r="M177" s="89" t="s">
        <v>34</v>
      </c>
      <c r="N177" s="88" t="s">
        <v>36</v>
      </c>
      <c r="O177" s="104">
        <f>VLOOKUP(E177,'[2]STOCK  19.09.2017'!$F$6:$I$233,4,0)</f>
        <v>50</v>
      </c>
    </row>
    <row r="178" spans="1:15" ht="18.75" customHeight="1">
      <c r="A178" s="85">
        <v>223</v>
      </c>
      <c r="B178" s="102" t="s">
        <v>33</v>
      </c>
      <c r="C178" s="86">
        <v>100495</v>
      </c>
      <c r="D178" s="87" t="s">
        <v>273</v>
      </c>
      <c r="E178" s="102">
        <v>50005623</v>
      </c>
      <c r="F178" s="103" t="s">
        <v>305</v>
      </c>
      <c r="G178" s="102"/>
      <c r="H178" s="101" t="s">
        <v>34</v>
      </c>
      <c r="I178" s="101" t="s">
        <v>34</v>
      </c>
      <c r="J178" s="101" t="s">
        <v>34</v>
      </c>
      <c r="K178" s="101" t="s">
        <v>34</v>
      </c>
      <c r="L178" s="89" t="s">
        <v>34</v>
      </c>
      <c r="M178" s="89" t="s">
        <v>34</v>
      </c>
      <c r="N178" s="88" t="s">
        <v>36</v>
      </c>
      <c r="O178" s="104" t="e">
        <f>VLOOKUP(E178,'[2]STOCK  19.09.2017'!$F$6:$I$233,4,0)</f>
        <v>#N/A</v>
      </c>
    </row>
    <row r="179" spans="1:15" ht="18.75" customHeight="1">
      <c r="A179" s="85">
        <v>224</v>
      </c>
      <c r="B179" s="102" t="s">
        <v>33</v>
      </c>
      <c r="C179" s="86">
        <v>100495</v>
      </c>
      <c r="D179" s="87" t="s">
        <v>273</v>
      </c>
      <c r="E179" s="90">
        <v>50008970</v>
      </c>
      <c r="F179" s="105" t="s">
        <v>315</v>
      </c>
      <c r="G179" s="102"/>
      <c r="H179" s="101">
        <v>100</v>
      </c>
      <c r="I179" s="101">
        <v>100</v>
      </c>
      <c r="J179" s="101" t="s">
        <v>34</v>
      </c>
      <c r="K179" s="101" t="s">
        <v>34</v>
      </c>
      <c r="L179" s="89" t="s">
        <v>34</v>
      </c>
      <c r="M179" s="89" t="s">
        <v>34</v>
      </c>
      <c r="N179" s="88" t="s">
        <v>36</v>
      </c>
      <c r="O179" s="104">
        <f>VLOOKUP(E179,'[2]STOCK  19.09.2017'!$F$6:$I$233,4,0)</f>
        <v>50</v>
      </c>
    </row>
    <row r="180" spans="1:15" ht="18.75" customHeight="1">
      <c r="A180" s="85">
        <v>225</v>
      </c>
      <c r="B180" s="102" t="s">
        <v>33</v>
      </c>
      <c r="C180" s="86">
        <v>100495</v>
      </c>
      <c r="D180" s="87" t="s">
        <v>273</v>
      </c>
      <c r="E180" s="90">
        <v>50013979</v>
      </c>
      <c r="F180" s="105" t="s">
        <v>311</v>
      </c>
      <c r="G180" s="102"/>
      <c r="H180" s="101">
        <v>100</v>
      </c>
      <c r="I180" s="101">
        <v>100</v>
      </c>
      <c r="J180" s="101">
        <v>50</v>
      </c>
      <c r="K180" s="89" t="s">
        <v>34</v>
      </c>
      <c r="L180" s="89" t="s">
        <v>34</v>
      </c>
      <c r="M180" s="89" t="s">
        <v>34</v>
      </c>
      <c r="N180" s="88" t="s">
        <v>36</v>
      </c>
      <c r="O180" s="104">
        <f>VLOOKUP(E180,'[2]STOCK  19.09.2017'!$F$6:$I$233,4,0)</f>
        <v>40</v>
      </c>
    </row>
    <row r="181" spans="1:15" ht="18.75" customHeight="1">
      <c r="A181" s="85">
        <v>226</v>
      </c>
      <c r="B181" s="102" t="s">
        <v>33</v>
      </c>
      <c r="C181" s="86">
        <v>100495</v>
      </c>
      <c r="D181" s="87" t="s">
        <v>273</v>
      </c>
      <c r="E181" s="102">
        <v>50013982</v>
      </c>
      <c r="F181" s="103" t="s">
        <v>322</v>
      </c>
      <c r="G181" s="102"/>
      <c r="H181" s="101">
        <v>500</v>
      </c>
      <c r="I181" s="101">
        <v>600</v>
      </c>
      <c r="J181" s="101">
        <v>400</v>
      </c>
      <c r="K181" s="89">
        <v>500</v>
      </c>
      <c r="L181" s="89" t="s">
        <v>34</v>
      </c>
      <c r="M181" s="89" t="s">
        <v>34</v>
      </c>
      <c r="N181" s="88" t="s">
        <v>36</v>
      </c>
      <c r="O181" s="104">
        <f>VLOOKUP(E181,'[2]STOCK  19.09.2017'!$F$6:$I$233,4,0)</f>
        <v>600</v>
      </c>
    </row>
    <row r="182" spans="1:15" ht="18.75" customHeight="1">
      <c r="A182" s="85">
        <v>227</v>
      </c>
      <c r="B182" s="102" t="s">
        <v>33</v>
      </c>
      <c r="C182" s="86">
        <v>100495</v>
      </c>
      <c r="D182" s="87" t="s">
        <v>273</v>
      </c>
      <c r="E182" s="102">
        <v>50021919</v>
      </c>
      <c r="F182" s="103" t="s">
        <v>326</v>
      </c>
      <c r="G182" s="102"/>
      <c r="H182" s="101">
        <v>500</v>
      </c>
      <c r="I182" s="101">
        <v>500</v>
      </c>
      <c r="J182" s="101">
        <v>400</v>
      </c>
      <c r="K182" s="89">
        <v>300</v>
      </c>
      <c r="L182" s="89" t="s">
        <v>34</v>
      </c>
      <c r="M182" s="89" t="s">
        <v>34</v>
      </c>
      <c r="N182" s="88" t="s">
        <v>36</v>
      </c>
      <c r="O182" s="104">
        <f>VLOOKUP(E182,'[2]STOCK  19.09.2017'!$F$6:$I$233,4,0)</f>
        <v>300</v>
      </c>
    </row>
    <row r="183" spans="1:15" ht="18.75" customHeight="1">
      <c r="A183" s="85">
        <v>228</v>
      </c>
      <c r="B183" s="102" t="s">
        <v>33</v>
      </c>
      <c r="C183" s="86">
        <v>100495</v>
      </c>
      <c r="D183" s="87" t="s">
        <v>273</v>
      </c>
      <c r="E183" s="102">
        <v>50021920</v>
      </c>
      <c r="F183" s="103" t="s">
        <v>417</v>
      </c>
      <c r="G183" s="102"/>
      <c r="H183" s="101">
        <v>500</v>
      </c>
      <c r="I183" s="101">
        <v>600</v>
      </c>
      <c r="J183" s="101">
        <v>400</v>
      </c>
      <c r="K183" s="89">
        <v>400</v>
      </c>
      <c r="L183" s="89" t="s">
        <v>34</v>
      </c>
      <c r="M183" s="89" t="s">
        <v>34</v>
      </c>
      <c r="N183" s="88" t="s">
        <v>36</v>
      </c>
      <c r="O183" s="104" t="e">
        <f>VLOOKUP(E183,'[2]STOCK  19.09.2017'!$F$6:$I$233,4,0)</f>
        <v>#N/A</v>
      </c>
    </row>
    <row r="184" spans="1:15" ht="18.75" customHeight="1">
      <c r="A184" s="85">
        <v>229</v>
      </c>
      <c r="B184" s="102" t="s">
        <v>33</v>
      </c>
      <c r="C184" s="86">
        <v>100495</v>
      </c>
      <c r="D184" s="87" t="s">
        <v>273</v>
      </c>
      <c r="E184" s="102">
        <v>50021536</v>
      </c>
      <c r="F184" s="103" t="s">
        <v>309</v>
      </c>
      <c r="G184" s="102"/>
      <c r="H184" s="101">
        <v>1300</v>
      </c>
      <c r="I184" s="101">
        <v>1600</v>
      </c>
      <c r="J184" s="101">
        <v>1000</v>
      </c>
      <c r="K184" s="89">
        <v>1000</v>
      </c>
      <c r="L184" s="89" t="s">
        <v>34</v>
      </c>
      <c r="M184" s="89" t="s">
        <v>34</v>
      </c>
      <c r="N184" s="88" t="s">
        <v>36</v>
      </c>
      <c r="O184" s="104">
        <f>VLOOKUP(E184,'[2]STOCK  19.09.2017'!$F$6:$I$233,4,0)</f>
        <v>200</v>
      </c>
    </row>
    <row r="185" spans="1:15" ht="18.75" customHeight="1">
      <c r="A185" s="85">
        <v>230</v>
      </c>
      <c r="B185" s="102" t="s">
        <v>33</v>
      </c>
      <c r="C185" s="86">
        <v>100495</v>
      </c>
      <c r="D185" s="87" t="s">
        <v>273</v>
      </c>
      <c r="E185" s="90">
        <v>50021935</v>
      </c>
      <c r="F185" s="105" t="s">
        <v>321</v>
      </c>
      <c r="G185" s="102"/>
      <c r="H185" s="89">
        <v>200</v>
      </c>
      <c r="I185" s="101">
        <v>150</v>
      </c>
      <c r="J185" s="101">
        <v>100</v>
      </c>
      <c r="K185" s="89">
        <v>50</v>
      </c>
      <c r="L185" s="89" t="s">
        <v>34</v>
      </c>
      <c r="M185" s="89" t="s">
        <v>34</v>
      </c>
      <c r="N185" s="88" t="s">
        <v>36</v>
      </c>
      <c r="O185" s="104">
        <f>VLOOKUP(E185,'[2]STOCK  19.09.2017'!$F$6:$I$233,4,0)</f>
        <v>100</v>
      </c>
    </row>
    <row r="186" spans="1:15" ht="18.75" customHeight="1">
      <c r="A186" s="85">
        <v>231</v>
      </c>
      <c r="B186" s="102" t="s">
        <v>33</v>
      </c>
      <c r="C186" s="86">
        <v>100495</v>
      </c>
      <c r="D186" s="87" t="s">
        <v>273</v>
      </c>
      <c r="E186" s="102">
        <v>50020834</v>
      </c>
      <c r="F186" s="103" t="s">
        <v>301</v>
      </c>
      <c r="G186" s="102"/>
      <c r="H186" s="101">
        <v>10000</v>
      </c>
      <c r="I186" s="101">
        <v>10000</v>
      </c>
      <c r="J186" s="101">
        <v>10000</v>
      </c>
      <c r="K186" s="101">
        <v>10000</v>
      </c>
      <c r="L186" s="89">
        <v>10000</v>
      </c>
      <c r="M186" s="89">
        <v>10000</v>
      </c>
      <c r="N186" s="88" t="s">
        <v>36</v>
      </c>
      <c r="O186" s="104">
        <f>VLOOKUP(E186,'[2]STOCK  19.09.2017'!$F$6:$I$233,4,0)</f>
        <v>16000</v>
      </c>
    </row>
    <row r="187" spans="1:15" ht="18.75" customHeight="1">
      <c r="A187" s="85">
        <v>232</v>
      </c>
      <c r="B187" s="102" t="s">
        <v>33</v>
      </c>
      <c r="C187" s="86">
        <v>100495</v>
      </c>
      <c r="D187" s="87" t="s">
        <v>273</v>
      </c>
      <c r="E187" s="102">
        <v>50022297</v>
      </c>
      <c r="F187" s="103" t="s">
        <v>387</v>
      </c>
      <c r="G187" s="102"/>
      <c r="H187" s="101">
        <v>50</v>
      </c>
      <c r="I187" s="101">
        <v>200</v>
      </c>
      <c r="J187" s="101">
        <v>150</v>
      </c>
      <c r="K187" s="89" t="s">
        <v>34</v>
      </c>
      <c r="L187" s="89" t="s">
        <v>34</v>
      </c>
      <c r="M187" s="89" t="s">
        <v>34</v>
      </c>
      <c r="N187" s="88" t="s">
        <v>36</v>
      </c>
      <c r="O187" s="104">
        <f>VLOOKUP(E187,'[2]STOCK  19.09.2017'!$F$6:$I$233,4,0)</f>
        <v>100</v>
      </c>
    </row>
    <row r="188" spans="1:15" ht="18.75" customHeight="1">
      <c r="A188" s="85">
        <v>233</v>
      </c>
      <c r="B188" s="102" t="s">
        <v>33</v>
      </c>
      <c r="C188" s="86">
        <v>100495</v>
      </c>
      <c r="D188" s="87" t="s">
        <v>273</v>
      </c>
      <c r="E188" s="102">
        <v>50022298</v>
      </c>
      <c r="F188" s="103" t="s">
        <v>388</v>
      </c>
      <c r="G188" s="102"/>
      <c r="H188" s="101">
        <v>400</v>
      </c>
      <c r="I188" s="101">
        <v>350</v>
      </c>
      <c r="J188" s="101">
        <v>300</v>
      </c>
      <c r="K188" s="89">
        <v>500</v>
      </c>
      <c r="L188" s="89" t="s">
        <v>34</v>
      </c>
      <c r="M188" s="89" t="s">
        <v>34</v>
      </c>
      <c r="N188" s="88" t="s">
        <v>36</v>
      </c>
      <c r="O188" s="104">
        <f>VLOOKUP(E188,'[2]STOCK  19.09.2017'!$F$6:$I$233,4,0)</f>
        <v>200</v>
      </c>
    </row>
    <row r="189" spans="1:15" ht="18.75" customHeight="1">
      <c r="A189" s="85">
        <v>234</v>
      </c>
      <c r="B189" s="102" t="s">
        <v>33</v>
      </c>
      <c r="C189" s="86">
        <v>100495</v>
      </c>
      <c r="D189" s="87" t="s">
        <v>273</v>
      </c>
      <c r="E189" s="102">
        <v>50022299</v>
      </c>
      <c r="F189" s="103" t="s">
        <v>389</v>
      </c>
      <c r="G189" s="102"/>
      <c r="H189" s="101">
        <v>500</v>
      </c>
      <c r="I189" s="101">
        <v>600</v>
      </c>
      <c r="J189" s="101">
        <v>500</v>
      </c>
      <c r="K189" s="89">
        <v>500</v>
      </c>
      <c r="L189" s="89" t="s">
        <v>34</v>
      </c>
      <c r="M189" s="89" t="s">
        <v>34</v>
      </c>
      <c r="N189" s="88" t="s">
        <v>36</v>
      </c>
      <c r="O189" s="104" t="e">
        <f>VLOOKUP(E189,'[2]STOCK  19.09.2017'!$F$6:$I$233,4,0)</f>
        <v>#N/A</v>
      </c>
    </row>
    <row r="190" spans="1:15" ht="18.75" customHeight="1">
      <c r="A190" s="85"/>
      <c r="B190" s="102" t="s">
        <v>33</v>
      </c>
      <c r="C190" s="86">
        <v>100495</v>
      </c>
      <c r="D190" s="87" t="s">
        <v>273</v>
      </c>
      <c r="E190" s="102">
        <v>50022746</v>
      </c>
      <c r="F190" s="103" t="s">
        <v>433</v>
      </c>
      <c r="G190" s="102"/>
      <c r="H190" s="101">
        <v>400</v>
      </c>
      <c r="I190" s="101">
        <v>600</v>
      </c>
      <c r="J190" s="101">
        <v>600</v>
      </c>
      <c r="K190" s="89">
        <v>900</v>
      </c>
      <c r="L190" s="89" t="s">
        <v>34</v>
      </c>
      <c r="M190" s="89" t="s">
        <v>34</v>
      </c>
      <c r="N190" s="88" t="s">
        <v>36</v>
      </c>
      <c r="O190" s="104" t="e">
        <f>VLOOKUP(E190,'[2]STOCK  19.09.2017'!$F$6:$I$233,4,0)</f>
        <v>#N/A</v>
      </c>
    </row>
    <row r="191" spans="1:15" ht="18.75" customHeight="1">
      <c r="A191" s="85">
        <v>238</v>
      </c>
      <c r="B191" s="102" t="s">
        <v>33</v>
      </c>
      <c r="C191" s="86">
        <v>4006</v>
      </c>
      <c r="D191" s="87" t="s">
        <v>274</v>
      </c>
      <c r="E191" s="102">
        <v>50001265</v>
      </c>
      <c r="F191" s="103" t="s">
        <v>153</v>
      </c>
      <c r="G191" s="102"/>
      <c r="H191" s="101" t="s">
        <v>34</v>
      </c>
      <c r="I191" s="101" t="s">
        <v>34</v>
      </c>
      <c r="J191" s="101" t="s">
        <v>34</v>
      </c>
      <c r="K191" s="101" t="s">
        <v>34</v>
      </c>
      <c r="L191" s="101" t="s">
        <v>34</v>
      </c>
      <c r="M191" s="101" t="s">
        <v>34</v>
      </c>
      <c r="N191" s="88" t="s">
        <v>36</v>
      </c>
      <c r="O191" s="104" t="e">
        <f>VLOOKUP(E191,'[2]STOCK  19.09.2017'!$F$6:$I$233,4,0)</f>
        <v>#N/A</v>
      </c>
    </row>
    <row r="192" spans="1:15" ht="18.75" customHeight="1">
      <c r="A192" s="85">
        <v>239</v>
      </c>
      <c r="B192" s="102" t="s">
        <v>33</v>
      </c>
      <c r="C192" s="86">
        <v>4006</v>
      </c>
      <c r="D192" s="87" t="s">
        <v>274</v>
      </c>
      <c r="E192" s="102">
        <v>50001273</v>
      </c>
      <c r="F192" s="103" t="s">
        <v>154</v>
      </c>
      <c r="G192" s="102"/>
      <c r="H192" s="101" t="s">
        <v>34</v>
      </c>
      <c r="I192" s="101" t="s">
        <v>34</v>
      </c>
      <c r="J192" s="101" t="s">
        <v>34</v>
      </c>
      <c r="K192" s="101" t="s">
        <v>34</v>
      </c>
      <c r="L192" s="101" t="s">
        <v>34</v>
      </c>
      <c r="M192" s="101" t="s">
        <v>34</v>
      </c>
      <c r="N192" s="88" t="s">
        <v>36</v>
      </c>
      <c r="O192" s="104" t="e">
        <f>VLOOKUP(E192,'[2]STOCK  19.09.2017'!$F$6:$I$233,4,0)</f>
        <v>#N/A</v>
      </c>
    </row>
    <row r="193" spans="1:15" ht="18.75" customHeight="1">
      <c r="A193" s="85">
        <v>240</v>
      </c>
      <c r="B193" s="102" t="s">
        <v>33</v>
      </c>
      <c r="C193" s="86">
        <v>4006</v>
      </c>
      <c r="D193" s="87" t="s">
        <v>274</v>
      </c>
      <c r="E193" s="102">
        <v>50001276</v>
      </c>
      <c r="F193" s="103" t="s">
        <v>155</v>
      </c>
      <c r="G193" s="102"/>
      <c r="H193" s="101" t="s">
        <v>34</v>
      </c>
      <c r="I193" s="101" t="s">
        <v>34</v>
      </c>
      <c r="J193" s="101" t="s">
        <v>34</v>
      </c>
      <c r="K193" s="101" t="s">
        <v>34</v>
      </c>
      <c r="L193" s="101" t="s">
        <v>34</v>
      </c>
      <c r="M193" s="101" t="s">
        <v>34</v>
      </c>
      <c r="N193" s="88" t="s">
        <v>36</v>
      </c>
      <c r="O193" s="104" t="e">
        <f>VLOOKUP(E193,'[2]STOCK  19.09.2017'!$F$6:$I$233,4,0)</f>
        <v>#N/A</v>
      </c>
    </row>
    <row r="194" spans="1:15" ht="18.75" customHeight="1">
      <c r="A194" s="85">
        <v>241</v>
      </c>
      <c r="B194" s="102" t="s">
        <v>33</v>
      </c>
      <c r="C194" s="86">
        <v>4006</v>
      </c>
      <c r="D194" s="87" t="s">
        <v>274</v>
      </c>
      <c r="E194" s="102">
        <v>50001285</v>
      </c>
      <c r="F194" s="103" t="s">
        <v>156</v>
      </c>
      <c r="G194" s="102"/>
      <c r="H194" s="101">
        <v>8000</v>
      </c>
      <c r="I194" s="101">
        <v>16000</v>
      </c>
      <c r="J194" s="101">
        <v>13000</v>
      </c>
      <c r="K194" s="101">
        <v>15000</v>
      </c>
      <c r="L194" s="101">
        <v>15000</v>
      </c>
      <c r="M194" s="101">
        <v>16000</v>
      </c>
      <c r="N194" s="88" t="s">
        <v>36</v>
      </c>
      <c r="O194" s="104">
        <f>VLOOKUP(E194,'[2]STOCK  19.09.2017'!$F$6:$I$233,4,0)</f>
        <v>3000</v>
      </c>
    </row>
    <row r="195" spans="1:15" ht="18.75" customHeight="1">
      <c r="A195" s="85">
        <v>242</v>
      </c>
      <c r="B195" s="102" t="s">
        <v>33</v>
      </c>
      <c r="C195" s="86">
        <v>4006</v>
      </c>
      <c r="D195" s="87" t="s">
        <v>274</v>
      </c>
      <c r="E195" s="102">
        <v>50001290</v>
      </c>
      <c r="F195" s="103" t="s">
        <v>157</v>
      </c>
      <c r="G195" s="102"/>
      <c r="H195" s="101">
        <v>8000</v>
      </c>
      <c r="I195" s="101">
        <v>16000</v>
      </c>
      <c r="J195" s="101">
        <v>13000</v>
      </c>
      <c r="K195" s="101">
        <v>15000</v>
      </c>
      <c r="L195" s="101">
        <v>15000</v>
      </c>
      <c r="M195" s="101">
        <v>16000</v>
      </c>
      <c r="N195" s="88" t="s">
        <v>36</v>
      </c>
      <c r="O195" s="104">
        <f>VLOOKUP(E195,'[2]STOCK  19.09.2017'!$F$6:$I$233,4,0)</f>
        <v>5000</v>
      </c>
    </row>
    <row r="196" spans="1:15" ht="18.75" customHeight="1">
      <c r="A196" s="85">
        <v>243</v>
      </c>
      <c r="B196" s="102" t="s">
        <v>33</v>
      </c>
      <c r="C196" s="86">
        <v>4006</v>
      </c>
      <c r="D196" s="87" t="s">
        <v>274</v>
      </c>
      <c r="E196" s="102">
        <v>50001294</v>
      </c>
      <c r="F196" s="103" t="s">
        <v>158</v>
      </c>
      <c r="G196" s="102"/>
      <c r="H196" s="101" t="s">
        <v>34</v>
      </c>
      <c r="I196" s="101" t="s">
        <v>34</v>
      </c>
      <c r="J196" s="101" t="s">
        <v>34</v>
      </c>
      <c r="K196" s="101" t="s">
        <v>34</v>
      </c>
      <c r="L196" s="101" t="s">
        <v>34</v>
      </c>
      <c r="M196" s="101" t="s">
        <v>34</v>
      </c>
      <c r="N196" s="88" t="s">
        <v>36</v>
      </c>
      <c r="O196" s="104" t="e">
        <f>VLOOKUP(E196,'[2]STOCK  19.09.2017'!$F$6:$I$233,4,0)</f>
        <v>#N/A</v>
      </c>
    </row>
    <row r="197" spans="1:15" ht="18.75" customHeight="1">
      <c r="A197" s="85">
        <v>244</v>
      </c>
      <c r="B197" s="102" t="s">
        <v>33</v>
      </c>
      <c r="C197" s="86">
        <v>4006</v>
      </c>
      <c r="D197" s="87" t="s">
        <v>274</v>
      </c>
      <c r="E197" s="102">
        <v>50001295</v>
      </c>
      <c r="F197" s="103" t="s">
        <v>159</v>
      </c>
      <c r="G197" s="102"/>
      <c r="H197" s="101">
        <v>16000</v>
      </c>
      <c r="I197" s="101">
        <v>19000</v>
      </c>
      <c r="J197" s="101">
        <v>16000</v>
      </c>
      <c r="K197" s="101">
        <v>16000</v>
      </c>
      <c r="L197" s="101">
        <v>15000</v>
      </c>
      <c r="M197" s="101">
        <v>17000</v>
      </c>
      <c r="N197" s="88" t="s">
        <v>36</v>
      </c>
      <c r="O197" s="104">
        <f>VLOOKUP(E197,'[2]STOCK  19.09.2017'!$F$6:$I$233,4,0)</f>
        <v>5000</v>
      </c>
    </row>
    <row r="198" spans="1:15" ht="18.75" customHeight="1">
      <c r="A198" s="85">
        <v>245</v>
      </c>
      <c r="B198" s="102" t="s">
        <v>33</v>
      </c>
      <c r="C198" s="86">
        <v>4006</v>
      </c>
      <c r="D198" s="87" t="s">
        <v>274</v>
      </c>
      <c r="E198" s="102">
        <v>50020834</v>
      </c>
      <c r="F198" s="103" t="s">
        <v>301</v>
      </c>
      <c r="G198" s="102"/>
      <c r="H198" s="101">
        <v>44000</v>
      </c>
      <c r="I198" s="101">
        <v>67000</v>
      </c>
      <c r="J198" s="101">
        <v>40000</v>
      </c>
      <c r="K198" s="101">
        <v>54000</v>
      </c>
      <c r="L198" s="101">
        <v>60000</v>
      </c>
      <c r="M198" s="101">
        <v>54000</v>
      </c>
      <c r="N198" s="88" t="s">
        <v>36</v>
      </c>
      <c r="O198" s="104">
        <f>VLOOKUP(E198,'[2]STOCK  19.09.2017'!$F$6:$I$233,4,0)</f>
        <v>16000</v>
      </c>
    </row>
    <row r="199" spans="1:15" ht="18.75" customHeight="1">
      <c r="A199" s="85">
        <v>246</v>
      </c>
      <c r="B199" s="102" t="s">
        <v>33</v>
      </c>
      <c r="C199" s="86">
        <v>4006</v>
      </c>
      <c r="D199" s="87" t="s">
        <v>274</v>
      </c>
      <c r="E199" s="102">
        <v>50001325</v>
      </c>
      <c r="F199" s="103" t="s">
        <v>160</v>
      </c>
      <c r="G199" s="102"/>
      <c r="H199" s="101" t="s">
        <v>34</v>
      </c>
      <c r="I199" s="101" t="s">
        <v>34</v>
      </c>
      <c r="J199" s="101" t="s">
        <v>34</v>
      </c>
      <c r="K199" s="101" t="s">
        <v>34</v>
      </c>
      <c r="L199" s="101" t="s">
        <v>34</v>
      </c>
      <c r="M199" s="101" t="s">
        <v>34</v>
      </c>
      <c r="N199" s="88" t="s">
        <v>36</v>
      </c>
      <c r="O199" s="104" t="e">
        <f>VLOOKUP(E199,'[2]STOCK  19.09.2017'!$F$6:$I$233,4,0)</f>
        <v>#N/A</v>
      </c>
    </row>
    <row r="200" spans="1:15" ht="18.75" customHeight="1">
      <c r="A200" s="85">
        <v>247</v>
      </c>
      <c r="B200" s="102" t="s">
        <v>33</v>
      </c>
      <c r="C200" s="86">
        <v>4006</v>
      </c>
      <c r="D200" s="87" t="s">
        <v>274</v>
      </c>
      <c r="E200" s="102">
        <v>50001366</v>
      </c>
      <c r="F200" s="103" t="s">
        <v>161</v>
      </c>
      <c r="G200" s="102"/>
      <c r="H200" s="101" t="s">
        <v>34</v>
      </c>
      <c r="I200" s="101" t="s">
        <v>34</v>
      </c>
      <c r="J200" s="101" t="s">
        <v>34</v>
      </c>
      <c r="K200" s="101" t="s">
        <v>34</v>
      </c>
      <c r="L200" s="101" t="s">
        <v>34</v>
      </c>
      <c r="M200" s="101" t="s">
        <v>34</v>
      </c>
      <c r="N200" s="88" t="s">
        <v>36</v>
      </c>
      <c r="O200" s="104" t="e">
        <f>VLOOKUP(E200,'[2]STOCK  19.09.2017'!$F$6:$I$233,4,0)</f>
        <v>#N/A</v>
      </c>
    </row>
    <row r="201" spans="1:15" ht="18.75" customHeight="1">
      <c r="A201" s="85">
        <v>248</v>
      </c>
      <c r="B201" s="102" t="s">
        <v>33</v>
      </c>
      <c r="C201" s="86">
        <v>4006</v>
      </c>
      <c r="D201" s="87" t="s">
        <v>274</v>
      </c>
      <c r="E201" s="102">
        <v>50001452</v>
      </c>
      <c r="F201" s="103" t="s">
        <v>162</v>
      </c>
      <c r="G201" s="102"/>
      <c r="H201" s="101" t="s">
        <v>34</v>
      </c>
      <c r="I201" s="101" t="s">
        <v>34</v>
      </c>
      <c r="J201" s="101" t="s">
        <v>34</v>
      </c>
      <c r="K201" s="101" t="s">
        <v>34</v>
      </c>
      <c r="L201" s="101" t="s">
        <v>34</v>
      </c>
      <c r="M201" s="101" t="s">
        <v>34</v>
      </c>
      <c r="N201" s="88" t="s">
        <v>36</v>
      </c>
      <c r="O201" s="104" t="e">
        <f>VLOOKUP(E201,'[2]STOCK  19.09.2017'!$F$6:$I$233,4,0)</f>
        <v>#N/A</v>
      </c>
    </row>
    <row r="202" spans="1:15" ht="18.75" customHeight="1">
      <c r="A202" s="85">
        <v>249</v>
      </c>
      <c r="B202" s="102" t="s">
        <v>33</v>
      </c>
      <c r="C202" s="86">
        <v>4006</v>
      </c>
      <c r="D202" s="87" t="s">
        <v>274</v>
      </c>
      <c r="E202" s="102">
        <v>50001456</v>
      </c>
      <c r="F202" s="103" t="s">
        <v>163</v>
      </c>
      <c r="G202" s="102"/>
      <c r="H202" s="101" t="s">
        <v>34</v>
      </c>
      <c r="I202" s="101" t="s">
        <v>34</v>
      </c>
      <c r="J202" s="101" t="s">
        <v>34</v>
      </c>
      <c r="K202" s="101" t="s">
        <v>34</v>
      </c>
      <c r="L202" s="101" t="s">
        <v>34</v>
      </c>
      <c r="M202" s="101" t="s">
        <v>34</v>
      </c>
      <c r="N202" s="88" t="s">
        <v>36</v>
      </c>
      <c r="O202" s="104" t="e">
        <f>VLOOKUP(E202,'[2]STOCK  19.09.2017'!$F$6:$I$233,4,0)</f>
        <v>#N/A</v>
      </c>
    </row>
    <row r="203" spans="1:15" ht="18.75" customHeight="1">
      <c r="A203" s="85">
        <v>250</v>
      </c>
      <c r="B203" s="102" t="s">
        <v>33</v>
      </c>
      <c r="C203" s="86">
        <v>4006</v>
      </c>
      <c r="D203" s="87" t="s">
        <v>274</v>
      </c>
      <c r="E203" s="102">
        <v>50001491</v>
      </c>
      <c r="F203" s="103" t="s">
        <v>164</v>
      </c>
      <c r="G203" s="102"/>
      <c r="H203" s="101" t="s">
        <v>34</v>
      </c>
      <c r="I203" s="101" t="s">
        <v>34</v>
      </c>
      <c r="J203" s="101" t="s">
        <v>34</v>
      </c>
      <c r="K203" s="101" t="s">
        <v>34</v>
      </c>
      <c r="L203" s="101" t="s">
        <v>34</v>
      </c>
      <c r="M203" s="101" t="s">
        <v>34</v>
      </c>
      <c r="N203" s="88" t="s">
        <v>36</v>
      </c>
      <c r="O203" s="104" t="e">
        <f>VLOOKUP(E203,'[2]STOCK  19.09.2017'!$F$6:$I$233,4,0)</f>
        <v>#N/A</v>
      </c>
    </row>
    <row r="204" spans="1:15" ht="18.75" customHeight="1">
      <c r="A204" s="85">
        <v>251</v>
      </c>
      <c r="B204" s="102" t="s">
        <v>33</v>
      </c>
      <c r="C204" s="86">
        <v>4006</v>
      </c>
      <c r="D204" s="87" t="s">
        <v>274</v>
      </c>
      <c r="E204" s="102">
        <v>50001570</v>
      </c>
      <c r="F204" s="103" t="s">
        <v>165</v>
      </c>
      <c r="G204" s="102"/>
      <c r="H204" s="101" t="s">
        <v>34</v>
      </c>
      <c r="I204" s="101" t="s">
        <v>34</v>
      </c>
      <c r="J204" s="101" t="s">
        <v>34</v>
      </c>
      <c r="K204" s="101" t="s">
        <v>34</v>
      </c>
      <c r="L204" s="101" t="s">
        <v>34</v>
      </c>
      <c r="M204" s="101" t="s">
        <v>34</v>
      </c>
      <c r="N204" s="88" t="s">
        <v>36</v>
      </c>
      <c r="O204" s="104" t="e">
        <f>VLOOKUP(E204,'[2]STOCK  19.09.2017'!$F$6:$I$233,4,0)</f>
        <v>#N/A</v>
      </c>
    </row>
    <row r="205" spans="1:15" ht="18.75" customHeight="1">
      <c r="A205" s="85">
        <v>252</v>
      </c>
      <c r="B205" s="102" t="s">
        <v>33</v>
      </c>
      <c r="C205" s="86">
        <v>4006</v>
      </c>
      <c r="D205" s="87" t="s">
        <v>274</v>
      </c>
      <c r="E205" s="102">
        <v>50001607</v>
      </c>
      <c r="F205" s="103" t="s">
        <v>166</v>
      </c>
      <c r="G205" s="102"/>
      <c r="H205" s="101" t="s">
        <v>34</v>
      </c>
      <c r="I205" s="101" t="s">
        <v>34</v>
      </c>
      <c r="J205" s="101" t="s">
        <v>34</v>
      </c>
      <c r="K205" s="101" t="s">
        <v>34</v>
      </c>
      <c r="L205" s="101"/>
      <c r="M205" s="101" t="s">
        <v>34</v>
      </c>
      <c r="N205" s="88" t="s">
        <v>36</v>
      </c>
      <c r="O205" s="104">
        <f>VLOOKUP(E205,'[2]STOCK  19.09.2017'!$F$6:$I$233,4,0)</f>
        <v>300</v>
      </c>
    </row>
    <row r="206" spans="1:15" ht="18.75" customHeight="1">
      <c r="A206" s="85">
        <v>253</v>
      </c>
      <c r="B206" s="102" t="s">
        <v>33</v>
      </c>
      <c r="C206" s="86">
        <v>4006</v>
      </c>
      <c r="D206" s="87" t="s">
        <v>274</v>
      </c>
      <c r="E206" s="102">
        <v>50001626</v>
      </c>
      <c r="F206" s="103" t="s">
        <v>167</v>
      </c>
      <c r="G206" s="102"/>
      <c r="H206" s="101" t="s">
        <v>34</v>
      </c>
      <c r="I206" s="101" t="s">
        <v>34</v>
      </c>
      <c r="J206" s="101" t="s">
        <v>34</v>
      </c>
      <c r="K206" s="101" t="s">
        <v>34</v>
      </c>
      <c r="L206" s="101"/>
      <c r="M206" s="101" t="s">
        <v>34</v>
      </c>
      <c r="N206" s="88" t="s">
        <v>36</v>
      </c>
      <c r="O206" s="104">
        <f>VLOOKUP(E206,'[2]STOCK  19.09.2017'!$F$6:$I$233,4,0)</f>
        <v>100</v>
      </c>
    </row>
    <row r="207" spans="1:15" ht="18.75" customHeight="1">
      <c r="A207" s="85">
        <v>254</v>
      </c>
      <c r="B207" s="102" t="s">
        <v>33</v>
      </c>
      <c r="C207" s="86">
        <v>4006</v>
      </c>
      <c r="D207" s="87" t="s">
        <v>274</v>
      </c>
      <c r="E207" s="102">
        <v>50001628</v>
      </c>
      <c r="F207" s="103" t="s">
        <v>168</v>
      </c>
      <c r="G207" s="102"/>
      <c r="H207" s="101" t="s">
        <v>34</v>
      </c>
      <c r="I207" s="101" t="s">
        <v>34</v>
      </c>
      <c r="J207" s="101" t="s">
        <v>34</v>
      </c>
      <c r="K207" s="101" t="s">
        <v>34</v>
      </c>
      <c r="L207" s="101"/>
      <c r="M207" s="101" t="s">
        <v>34</v>
      </c>
      <c r="N207" s="88" t="s">
        <v>36</v>
      </c>
      <c r="O207" s="104" t="e">
        <f>VLOOKUP(E207,'[2]STOCK  19.09.2017'!$F$6:$I$233,4,0)</f>
        <v>#N/A</v>
      </c>
    </row>
    <row r="208" spans="1:15" ht="18.75" customHeight="1">
      <c r="A208" s="85">
        <v>255</v>
      </c>
      <c r="B208" s="102" t="s">
        <v>33</v>
      </c>
      <c r="C208" s="86">
        <v>4006</v>
      </c>
      <c r="D208" s="87" t="s">
        <v>274</v>
      </c>
      <c r="E208" s="102">
        <v>50001635</v>
      </c>
      <c r="F208" s="103" t="s">
        <v>169</v>
      </c>
      <c r="G208" s="102"/>
      <c r="H208" s="101" t="s">
        <v>34</v>
      </c>
      <c r="I208" s="101" t="s">
        <v>34</v>
      </c>
      <c r="J208" s="101" t="s">
        <v>34</v>
      </c>
      <c r="K208" s="101" t="s">
        <v>34</v>
      </c>
      <c r="L208" s="101" t="s">
        <v>34</v>
      </c>
      <c r="M208" s="101" t="s">
        <v>34</v>
      </c>
      <c r="N208" s="88" t="s">
        <v>36</v>
      </c>
      <c r="O208" s="104" t="e">
        <f>VLOOKUP(E208,'[2]STOCK  19.09.2017'!$F$6:$I$233,4,0)</f>
        <v>#N/A</v>
      </c>
    </row>
    <row r="209" spans="1:15" ht="18.75" customHeight="1">
      <c r="A209" s="85">
        <v>256</v>
      </c>
      <c r="B209" s="102" t="s">
        <v>33</v>
      </c>
      <c r="C209" s="86">
        <v>4006</v>
      </c>
      <c r="D209" s="87" t="s">
        <v>274</v>
      </c>
      <c r="E209" s="102">
        <v>50001640</v>
      </c>
      <c r="F209" s="103" t="s">
        <v>170</v>
      </c>
      <c r="G209" s="102"/>
      <c r="H209" s="101" t="s">
        <v>34</v>
      </c>
      <c r="I209" s="101" t="s">
        <v>34</v>
      </c>
      <c r="J209" s="101" t="s">
        <v>34</v>
      </c>
      <c r="K209" s="101" t="s">
        <v>34</v>
      </c>
      <c r="L209" s="101" t="s">
        <v>34</v>
      </c>
      <c r="M209" s="101" t="s">
        <v>34</v>
      </c>
      <c r="N209" s="88" t="s">
        <v>36</v>
      </c>
      <c r="O209" s="104" t="e">
        <f>VLOOKUP(E209,'[2]STOCK  19.09.2017'!$F$6:$I$233,4,0)</f>
        <v>#N/A</v>
      </c>
    </row>
    <row r="210" spans="1:15" ht="18.75" customHeight="1">
      <c r="A210" s="85">
        <v>257</v>
      </c>
      <c r="B210" s="102" t="s">
        <v>33</v>
      </c>
      <c r="C210" s="86">
        <v>4006</v>
      </c>
      <c r="D210" s="87" t="s">
        <v>274</v>
      </c>
      <c r="E210" s="90">
        <v>50001647</v>
      </c>
      <c r="F210" s="105" t="s">
        <v>171</v>
      </c>
      <c r="G210" s="102"/>
      <c r="H210" s="101" t="s">
        <v>34</v>
      </c>
      <c r="I210" s="101" t="s">
        <v>34</v>
      </c>
      <c r="J210" s="101" t="s">
        <v>34</v>
      </c>
      <c r="K210" s="101" t="s">
        <v>34</v>
      </c>
      <c r="L210" s="101" t="s">
        <v>34</v>
      </c>
      <c r="M210" s="101" t="s">
        <v>34</v>
      </c>
      <c r="N210" s="88" t="s">
        <v>36</v>
      </c>
      <c r="O210" s="104">
        <f>VLOOKUP(E210,'[2]STOCK  19.09.2017'!$F$6:$I$233,4,0)</f>
        <v>32</v>
      </c>
    </row>
    <row r="211" spans="1:15" ht="18.75" customHeight="1">
      <c r="A211" s="85">
        <v>258</v>
      </c>
      <c r="B211" s="102" t="s">
        <v>33</v>
      </c>
      <c r="C211" s="86">
        <v>4006</v>
      </c>
      <c r="D211" s="87" t="s">
        <v>274</v>
      </c>
      <c r="E211" s="90">
        <v>50001660</v>
      </c>
      <c r="F211" s="105" t="s">
        <v>172</v>
      </c>
      <c r="G211" s="102"/>
      <c r="H211" s="101" t="s">
        <v>34</v>
      </c>
      <c r="I211" s="101" t="s">
        <v>34</v>
      </c>
      <c r="J211" s="101" t="s">
        <v>34</v>
      </c>
      <c r="K211" s="101" t="s">
        <v>34</v>
      </c>
      <c r="L211" s="101" t="s">
        <v>34</v>
      </c>
      <c r="M211" s="101" t="s">
        <v>34</v>
      </c>
      <c r="N211" s="88" t="s">
        <v>36</v>
      </c>
      <c r="O211" s="104">
        <f>VLOOKUP(E211,'[2]STOCK  19.09.2017'!$F$6:$I$233,4,0)</f>
        <v>40</v>
      </c>
    </row>
    <row r="212" spans="1:15" ht="18.75" customHeight="1">
      <c r="A212" s="85">
        <v>259</v>
      </c>
      <c r="B212" s="102" t="s">
        <v>33</v>
      </c>
      <c r="C212" s="86">
        <v>4006</v>
      </c>
      <c r="D212" s="87" t="s">
        <v>274</v>
      </c>
      <c r="E212" s="102">
        <v>50001667</v>
      </c>
      <c r="F212" s="103" t="s">
        <v>173</v>
      </c>
      <c r="G212" s="102"/>
      <c r="H212" s="101" t="s">
        <v>34</v>
      </c>
      <c r="I212" s="101" t="s">
        <v>34</v>
      </c>
      <c r="J212" s="101" t="s">
        <v>34</v>
      </c>
      <c r="K212" s="101" t="s">
        <v>34</v>
      </c>
      <c r="L212" s="101" t="s">
        <v>34</v>
      </c>
      <c r="M212" s="101" t="s">
        <v>34</v>
      </c>
      <c r="N212" s="88" t="s">
        <v>36</v>
      </c>
      <c r="O212" s="104">
        <f>VLOOKUP(E212,'[2]STOCK  19.09.2017'!$F$6:$I$233,4,0)</f>
        <v>19</v>
      </c>
    </row>
    <row r="213" spans="1:15" ht="18.75" customHeight="1">
      <c r="A213" s="85">
        <v>260</v>
      </c>
      <c r="B213" s="102" t="s">
        <v>33</v>
      </c>
      <c r="C213" s="86">
        <v>4006</v>
      </c>
      <c r="D213" s="87" t="s">
        <v>274</v>
      </c>
      <c r="E213" s="102">
        <v>50001704</v>
      </c>
      <c r="F213" s="103" t="s">
        <v>174</v>
      </c>
      <c r="G213" s="102"/>
      <c r="H213" s="101" t="s">
        <v>34</v>
      </c>
      <c r="I213" s="101" t="s">
        <v>34</v>
      </c>
      <c r="J213" s="101" t="s">
        <v>34</v>
      </c>
      <c r="K213" s="101" t="s">
        <v>34</v>
      </c>
      <c r="L213" s="101" t="s">
        <v>34</v>
      </c>
      <c r="M213" s="101" t="s">
        <v>34</v>
      </c>
      <c r="N213" s="88" t="s">
        <v>36</v>
      </c>
      <c r="O213" s="104" t="e">
        <f>VLOOKUP(E213,'[2]STOCK  19.09.2017'!$F$6:$I$233,4,0)</f>
        <v>#N/A</v>
      </c>
    </row>
    <row r="214" spans="1:15" ht="18.75" customHeight="1">
      <c r="A214" s="85">
        <v>261</v>
      </c>
      <c r="B214" s="102" t="s">
        <v>33</v>
      </c>
      <c r="C214" s="86">
        <v>4006</v>
      </c>
      <c r="D214" s="87" t="s">
        <v>274</v>
      </c>
      <c r="E214" s="102">
        <v>50001711</v>
      </c>
      <c r="F214" s="103" t="s">
        <v>175</v>
      </c>
      <c r="G214" s="102"/>
      <c r="H214" s="101" t="s">
        <v>34</v>
      </c>
      <c r="I214" s="101" t="s">
        <v>34</v>
      </c>
      <c r="J214" s="101" t="s">
        <v>34</v>
      </c>
      <c r="K214" s="101" t="s">
        <v>34</v>
      </c>
      <c r="L214" s="101" t="s">
        <v>34</v>
      </c>
      <c r="M214" s="101" t="s">
        <v>34</v>
      </c>
      <c r="N214" s="88" t="s">
        <v>36</v>
      </c>
      <c r="O214" s="104" t="e">
        <f>VLOOKUP(E214,'[2]STOCK  19.09.2017'!$F$6:$I$233,4,0)</f>
        <v>#N/A</v>
      </c>
    </row>
    <row r="215" spans="1:15" ht="18.75" customHeight="1">
      <c r="A215" s="85">
        <v>262</v>
      </c>
      <c r="B215" s="102" t="s">
        <v>33</v>
      </c>
      <c r="C215" s="86">
        <v>4006</v>
      </c>
      <c r="D215" s="87" t="s">
        <v>274</v>
      </c>
      <c r="E215" s="102">
        <v>50001713</v>
      </c>
      <c r="F215" s="103" t="s">
        <v>176</v>
      </c>
      <c r="G215" s="102"/>
      <c r="H215" s="101" t="s">
        <v>34</v>
      </c>
      <c r="I215" s="101" t="s">
        <v>34</v>
      </c>
      <c r="J215" s="101" t="s">
        <v>34</v>
      </c>
      <c r="K215" s="101" t="s">
        <v>34</v>
      </c>
      <c r="L215" s="101" t="s">
        <v>34</v>
      </c>
      <c r="M215" s="101" t="s">
        <v>34</v>
      </c>
      <c r="N215" s="88" t="s">
        <v>36</v>
      </c>
      <c r="O215" s="104">
        <f>VLOOKUP(E215,'[2]STOCK  19.09.2017'!$F$6:$I$233,4,0)</f>
        <v>400</v>
      </c>
    </row>
    <row r="216" spans="1:15" ht="18.75" customHeight="1">
      <c r="A216" s="85">
        <v>263</v>
      </c>
      <c r="B216" s="102" t="s">
        <v>33</v>
      </c>
      <c r="C216" s="86">
        <v>4006</v>
      </c>
      <c r="D216" s="87" t="s">
        <v>274</v>
      </c>
      <c r="E216" s="90">
        <v>50001714</v>
      </c>
      <c r="F216" s="105" t="s">
        <v>177</v>
      </c>
      <c r="G216" s="102"/>
      <c r="H216" s="101" t="s">
        <v>34</v>
      </c>
      <c r="I216" s="101" t="s">
        <v>34</v>
      </c>
      <c r="J216" s="101" t="s">
        <v>34</v>
      </c>
      <c r="K216" s="101" t="s">
        <v>34</v>
      </c>
      <c r="L216" s="101" t="s">
        <v>34</v>
      </c>
      <c r="M216" s="101" t="s">
        <v>34</v>
      </c>
      <c r="N216" s="88" t="s">
        <v>36</v>
      </c>
      <c r="O216" s="104">
        <f>VLOOKUP(E216,'[2]STOCK  19.09.2017'!$F$6:$I$233,4,0)</f>
        <v>33</v>
      </c>
    </row>
    <row r="217" spans="1:15" ht="18.75" customHeight="1">
      <c r="A217" s="85">
        <v>264</v>
      </c>
      <c r="B217" s="102" t="s">
        <v>33</v>
      </c>
      <c r="C217" s="86">
        <v>4006</v>
      </c>
      <c r="D217" s="87" t="s">
        <v>274</v>
      </c>
      <c r="E217" s="102">
        <v>50001727</v>
      </c>
      <c r="F217" s="103" t="s">
        <v>178</v>
      </c>
      <c r="G217" s="102"/>
      <c r="H217" s="101" t="s">
        <v>34</v>
      </c>
      <c r="I217" s="101" t="s">
        <v>34</v>
      </c>
      <c r="J217" s="101" t="s">
        <v>34</v>
      </c>
      <c r="K217" s="101" t="s">
        <v>34</v>
      </c>
      <c r="L217" s="101" t="s">
        <v>34</v>
      </c>
      <c r="M217" s="101" t="s">
        <v>34</v>
      </c>
      <c r="N217" s="88" t="s">
        <v>36</v>
      </c>
      <c r="O217" s="104" t="e">
        <f>VLOOKUP(E217,'[2]STOCK  19.09.2017'!$F$6:$I$233,4,0)</f>
        <v>#N/A</v>
      </c>
    </row>
    <row r="218" spans="1:15" ht="18.75" customHeight="1">
      <c r="A218" s="85">
        <v>265</v>
      </c>
      <c r="B218" s="102" t="s">
        <v>33</v>
      </c>
      <c r="C218" s="86">
        <v>4006</v>
      </c>
      <c r="D218" s="87" t="s">
        <v>274</v>
      </c>
      <c r="E218" s="102">
        <v>50001728</v>
      </c>
      <c r="F218" s="103" t="s">
        <v>179</v>
      </c>
      <c r="G218" s="102"/>
      <c r="H218" s="101" t="s">
        <v>34</v>
      </c>
      <c r="I218" s="101" t="s">
        <v>34</v>
      </c>
      <c r="J218" s="101" t="s">
        <v>34</v>
      </c>
      <c r="K218" s="101" t="s">
        <v>34</v>
      </c>
      <c r="L218" s="101" t="s">
        <v>34</v>
      </c>
      <c r="M218" s="101" t="s">
        <v>34</v>
      </c>
      <c r="N218" s="88" t="s">
        <v>36</v>
      </c>
      <c r="O218" s="104" t="e">
        <f>VLOOKUP(E218,'[2]STOCK  19.09.2017'!$F$6:$I$233,4,0)</f>
        <v>#N/A</v>
      </c>
    </row>
    <row r="219" spans="1:15" ht="18.75" customHeight="1">
      <c r="A219" s="85">
        <v>266</v>
      </c>
      <c r="B219" s="102" t="s">
        <v>33</v>
      </c>
      <c r="C219" s="86">
        <v>4006</v>
      </c>
      <c r="D219" s="87" t="s">
        <v>274</v>
      </c>
      <c r="E219" s="102">
        <v>50001817</v>
      </c>
      <c r="F219" s="103" t="s">
        <v>180</v>
      </c>
      <c r="G219" s="102"/>
      <c r="H219" s="101" t="s">
        <v>34</v>
      </c>
      <c r="I219" s="101" t="s">
        <v>34</v>
      </c>
      <c r="J219" s="101" t="s">
        <v>34</v>
      </c>
      <c r="K219" s="101" t="s">
        <v>34</v>
      </c>
      <c r="L219" s="101" t="s">
        <v>34</v>
      </c>
      <c r="M219" s="101" t="s">
        <v>34</v>
      </c>
      <c r="N219" s="88" t="s">
        <v>36</v>
      </c>
      <c r="O219" s="104">
        <f>VLOOKUP(E219,'[2]STOCK  19.09.2017'!$F$6:$I$233,4,0)</f>
        <v>0</v>
      </c>
    </row>
    <row r="220" spans="1:15" ht="18.75" customHeight="1">
      <c r="A220" s="85">
        <v>267</v>
      </c>
      <c r="B220" s="102" t="s">
        <v>33</v>
      </c>
      <c r="C220" s="86">
        <v>4006</v>
      </c>
      <c r="D220" s="87" t="s">
        <v>274</v>
      </c>
      <c r="E220" s="102">
        <v>50001818</v>
      </c>
      <c r="F220" s="103" t="s">
        <v>181</v>
      </c>
      <c r="G220" s="102"/>
      <c r="H220" s="101" t="s">
        <v>34</v>
      </c>
      <c r="I220" s="101" t="s">
        <v>34</v>
      </c>
      <c r="J220" s="101" t="s">
        <v>34</v>
      </c>
      <c r="K220" s="101" t="s">
        <v>34</v>
      </c>
      <c r="L220" s="101" t="s">
        <v>34</v>
      </c>
      <c r="M220" s="101" t="s">
        <v>34</v>
      </c>
      <c r="N220" s="88" t="s">
        <v>36</v>
      </c>
      <c r="O220" s="104" t="e">
        <f>VLOOKUP(E220,'[2]STOCK  19.09.2017'!$F$6:$I$233,4,0)</f>
        <v>#N/A</v>
      </c>
    </row>
    <row r="221" spans="1:15" ht="18.75" customHeight="1">
      <c r="A221" s="85">
        <v>268</v>
      </c>
      <c r="B221" s="102" t="s">
        <v>33</v>
      </c>
      <c r="C221" s="86">
        <v>4006</v>
      </c>
      <c r="D221" s="87" t="s">
        <v>274</v>
      </c>
      <c r="E221" s="102">
        <v>50001820</v>
      </c>
      <c r="F221" s="103" t="s">
        <v>182</v>
      </c>
      <c r="G221" s="102"/>
      <c r="H221" s="101" t="s">
        <v>34</v>
      </c>
      <c r="I221" s="101" t="s">
        <v>34</v>
      </c>
      <c r="J221" s="101" t="s">
        <v>34</v>
      </c>
      <c r="K221" s="101" t="s">
        <v>34</v>
      </c>
      <c r="L221" s="101" t="s">
        <v>34</v>
      </c>
      <c r="M221" s="101" t="s">
        <v>34</v>
      </c>
      <c r="N221" s="88" t="s">
        <v>36</v>
      </c>
      <c r="O221" s="104" t="e">
        <f>VLOOKUP(E221,'[2]STOCK  19.09.2017'!$F$6:$I$233,4,0)</f>
        <v>#N/A</v>
      </c>
    </row>
    <row r="222" spans="1:15" ht="18.75" customHeight="1">
      <c r="A222" s="85">
        <v>269</v>
      </c>
      <c r="B222" s="102" t="s">
        <v>33</v>
      </c>
      <c r="C222" s="86">
        <v>4006</v>
      </c>
      <c r="D222" s="87" t="s">
        <v>274</v>
      </c>
      <c r="E222" s="102">
        <v>50001823</v>
      </c>
      <c r="F222" s="103" t="s">
        <v>183</v>
      </c>
      <c r="G222" s="102"/>
      <c r="H222" s="101" t="s">
        <v>34</v>
      </c>
      <c r="I222" s="101" t="s">
        <v>34</v>
      </c>
      <c r="J222" s="101" t="s">
        <v>34</v>
      </c>
      <c r="K222" s="101" t="s">
        <v>34</v>
      </c>
      <c r="L222" s="101" t="s">
        <v>34</v>
      </c>
      <c r="M222" s="101" t="s">
        <v>34</v>
      </c>
      <c r="N222" s="88" t="s">
        <v>36</v>
      </c>
      <c r="O222" s="104" t="e">
        <f>VLOOKUP(E222,'[2]STOCK  19.09.2017'!$F$6:$I$233,4,0)</f>
        <v>#N/A</v>
      </c>
    </row>
    <row r="223" spans="1:15" ht="18.75" customHeight="1">
      <c r="A223" s="85">
        <v>270</v>
      </c>
      <c r="B223" s="102" t="s">
        <v>33</v>
      </c>
      <c r="C223" s="86">
        <v>4006</v>
      </c>
      <c r="D223" s="87" t="s">
        <v>274</v>
      </c>
      <c r="E223" s="102">
        <v>50001825</v>
      </c>
      <c r="F223" s="103" t="s">
        <v>184</v>
      </c>
      <c r="G223" s="102"/>
      <c r="H223" s="101">
        <v>100</v>
      </c>
      <c r="I223" s="101">
        <v>100</v>
      </c>
      <c r="J223" s="101" t="s">
        <v>34</v>
      </c>
      <c r="K223" s="101" t="s">
        <v>34</v>
      </c>
      <c r="L223" s="101" t="s">
        <v>34</v>
      </c>
      <c r="M223" s="101" t="s">
        <v>34</v>
      </c>
      <c r="N223" s="88" t="s">
        <v>36</v>
      </c>
      <c r="O223" s="104">
        <f>VLOOKUP(E223,'[2]STOCK  19.09.2017'!$F$6:$I$233,4,0)</f>
        <v>100</v>
      </c>
    </row>
    <row r="224" spans="1:15" ht="18.75" customHeight="1">
      <c r="A224" s="85">
        <v>271</v>
      </c>
      <c r="B224" s="102" t="s">
        <v>33</v>
      </c>
      <c r="C224" s="86">
        <v>4006</v>
      </c>
      <c r="D224" s="87" t="s">
        <v>274</v>
      </c>
      <c r="E224" s="102">
        <v>50001826</v>
      </c>
      <c r="F224" s="103" t="s">
        <v>185</v>
      </c>
      <c r="G224" s="102"/>
      <c r="H224" s="101" t="s">
        <v>34</v>
      </c>
      <c r="I224" s="101" t="s">
        <v>34</v>
      </c>
      <c r="J224" s="101" t="s">
        <v>34</v>
      </c>
      <c r="K224" s="101" t="s">
        <v>34</v>
      </c>
      <c r="L224" s="101" t="s">
        <v>34</v>
      </c>
      <c r="M224" s="101" t="s">
        <v>34</v>
      </c>
      <c r="N224" s="88" t="s">
        <v>36</v>
      </c>
      <c r="O224" s="104">
        <f>VLOOKUP(E224,'[2]STOCK  19.09.2017'!$F$6:$I$233,4,0)</f>
        <v>14</v>
      </c>
    </row>
    <row r="225" spans="1:15" ht="18.75" customHeight="1">
      <c r="A225" s="85">
        <v>272</v>
      </c>
      <c r="B225" s="102" t="s">
        <v>33</v>
      </c>
      <c r="C225" s="86">
        <v>4006</v>
      </c>
      <c r="D225" s="87" t="s">
        <v>274</v>
      </c>
      <c r="E225" s="90">
        <v>50001827</v>
      </c>
      <c r="F225" s="105" t="s">
        <v>186</v>
      </c>
      <c r="G225" s="102"/>
      <c r="H225" s="101" t="s">
        <v>34</v>
      </c>
      <c r="I225" s="101" t="s">
        <v>34</v>
      </c>
      <c r="J225" s="101" t="s">
        <v>34</v>
      </c>
      <c r="K225" s="101" t="s">
        <v>34</v>
      </c>
      <c r="L225" s="101" t="s">
        <v>34</v>
      </c>
      <c r="M225" s="101" t="s">
        <v>34</v>
      </c>
      <c r="N225" s="88" t="s">
        <v>36</v>
      </c>
      <c r="O225" s="104">
        <f>VLOOKUP(E225,'[2]STOCK  19.09.2017'!$F$6:$I$233,4,0)</f>
        <v>50</v>
      </c>
    </row>
    <row r="226" spans="1:15" ht="18.75" customHeight="1">
      <c r="A226" s="85">
        <v>273</v>
      </c>
      <c r="B226" s="102" t="s">
        <v>33</v>
      </c>
      <c r="C226" s="86">
        <v>4006</v>
      </c>
      <c r="D226" s="87" t="s">
        <v>274</v>
      </c>
      <c r="E226" s="102">
        <v>50001859</v>
      </c>
      <c r="F226" s="103" t="s">
        <v>187</v>
      </c>
      <c r="G226" s="102"/>
      <c r="H226" s="101" t="s">
        <v>34</v>
      </c>
      <c r="I226" s="101" t="s">
        <v>34</v>
      </c>
      <c r="J226" s="101" t="s">
        <v>34</v>
      </c>
      <c r="K226" s="101" t="s">
        <v>34</v>
      </c>
      <c r="L226" s="101" t="s">
        <v>34</v>
      </c>
      <c r="M226" s="101" t="s">
        <v>34</v>
      </c>
      <c r="N226" s="88" t="s">
        <v>36</v>
      </c>
      <c r="O226" s="104" t="e">
        <f>VLOOKUP(E226,'[2]STOCK  19.09.2017'!$F$6:$I$233,4,0)</f>
        <v>#N/A</v>
      </c>
    </row>
    <row r="227" spans="1:15" ht="18.75" customHeight="1">
      <c r="A227" s="85">
        <v>274</v>
      </c>
      <c r="B227" s="102" t="s">
        <v>33</v>
      </c>
      <c r="C227" s="86">
        <v>4006</v>
      </c>
      <c r="D227" s="87" t="s">
        <v>274</v>
      </c>
      <c r="E227" s="102">
        <v>50001865</v>
      </c>
      <c r="F227" s="103" t="s">
        <v>188</v>
      </c>
      <c r="G227" s="102"/>
      <c r="H227" s="101" t="s">
        <v>34</v>
      </c>
      <c r="I227" s="101" t="s">
        <v>34</v>
      </c>
      <c r="J227" s="101" t="s">
        <v>34</v>
      </c>
      <c r="K227" s="101" t="s">
        <v>34</v>
      </c>
      <c r="L227" s="101" t="s">
        <v>34</v>
      </c>
      <c r="M227" s="101" t="s">
        <v>34</v>
      </c>
      <c r="N227" s="88" t="s">
        <v>36</v>
      </c>
      <c r="O227" s="104">
        <f>VLOOKUP(E227,'[2]STOCK  19.09.2017'!$F$6:$I$233,4,0)</f>
        <v>50</v>
      </c>
    </row>
    <row r="228" spans="1:15" ht="18.75" customHeight="1">
      <c r="A228" s="85">
        <v>275</v>
      </c>
      <c r="B228" s="102" t="s">
        <v>33</v>
      </c>
      <c r="C228" s="86">
        <v>4006</v>
      </c>
      <c r="D228" s="87" t="s">
        <v>274</v>
      </c>
      <c r="E228" s="102">
        <v>50001867</v>
      </c>
      <c r="F228" s="103" t="s">
        <v>189</v>
      </c>
      <c r="G228" s="102"/>
      <c r="H228" s="101" t="s">
        <v>34</v>
      </c>
      <c r="I228" s="101" t="s">
        <v>34</v>
      </c>
      <c r="J228" s="101" t="s">
        <v>34</v>
      </c>
      <c r="K228" s="101" t="s">
        <v>34</v>
      </c>
      <c r="L228" s="101" t="s">
        <v>34</v>
      </c>
      <c r="M228" s="101" t="s">
        <v>34</v>
      </c>
      <c r="N228" s="88" t="s">
        <v>36</v>
      </c>
      <c r="O228" s="104" t="e">
        <f>VLOOKUP(E228,'[2]STOCK  19.09.2017'!$F$6:$I$233,4,0)</f>
        <v>#N/A</v>
      </c>
    </row>
    <row r="229" spans="1:15" ht="18.75" customHeight="1">
      <c r="A229" s="85">
        <v>276</v>
      </c>
      <c r="B229" s="102" t="s">
        <v>33</v>
      </c>
      <c r="C229" s="86">
        <v>4006</v>
      </c>
      <c r="D229" s="87" t="s">
        <v>274</v>
      </c>
      <c r="E229" s="102">
        <v>50001868</v>
      </c>
      <c r="F229" s="103" t="s">
        <v>190</v>
      </c>
      <c r="G229" s="102"/>
      <c r="H229" s="101" t="s">
        <v>34</v>
      </c>
      <c r="I229" s="101" t="s">
        <v>34</v>
      </c>
      <c r="J229" s="101" t="s">
        <v>34</v>
      </c>
      <c r="K229" s="101" t="s">
        <v>34</v>
      </c>
      <c r="L229" s="101" t="s">
        <v>34</v>
      </c>
      <c r="M229" s="101" t="s">
        <v>34</v>
      </c>
      <c r="N229" s="88" t="s">
        <v>36</v>
      </c>
      <c r="O229" s="104" t="e">
        <f>VLOOKUP(E229,'[2]STOCK  19.09.2017'!$F$6:$I$233,4,0)</f>
        <v>#N/A</v>
      </c>
    </row>
    <row r="230" spans="1:15" ht="18.75" customHeight="1">
      <c r="A230" s="85">
        <v>277</v>
      </c>
      <c r="B230" s="102" t="s">
        <v>33</v>
      </c>
      <c r="C230" s="86">
        <v>4006</v>
      </c>
      <c r="D230" s="87" t="s">
        <v>274</v>
      </c>
      <c r="E230" s="102">
        <v>50001897</v>
      </c>
      <c r="F230" s="103" t="s">
        <v>191</v>
      </c>
      <c r="G230" s="102"/>
      <c r="H230" s="101" t="s">
        <v>34</v>
      </c>
      <c r="I230" s="101" t="s">
        <v>34</v>
      </c>
      <c r="J230" s="101" t="s">
        <v>34</v>
      </c>
      <c r="K230" s="101" t="s">
        <v>34</v>
      </c>
      <c r="L230" s="101" t="s">
        <v>34</v>
      </c>
      <c r="M230" s="101" t="s">
        <v>34</v>
      </c>
      <c r="N230" s="88" t="s">
        <v>36</v>
      </c>
      <c r="O230" s="104">
        <f>VLOOKUP(E230,'[2]STOCK  19.09.2017'!$F$6:$I$233,4,0)</f>
        <v>760</v>
      </c>
    </row>
    <row r="231" spans="1:15" ht="18.75" customHeight="1">
      <c r="A231" s="85">
        <v>278</v>
      </c>
      <c r="B231" s="102" t="s">
        <v>33</v>
      </c>
      <c r="C231" s="86">
        <v>4006</v>
      </c>
      <c r="D231" s="87" t="s">
        <v>274</v>
      </c>
      <c r="E231" s="102">
        <v>50001900</v>
      </c>
      <c r="F231" s="103" t="s">
        <v>192</v>
      </c>
      <c r="G231" s="102"/>
      <c r="H231" s="101" t="s">
        <v>34</v>
      </c>
      <c r="I231" s="101" t="s">
        <v>34</v>
      </c>
      <c r="J231" s="101" t="s">
        <v>34</v>
      </c>
      <c r="K231" s="101" t="s">
        <v>34</v>
      </c>
      <c r="L231" s="101" t="s">
        <v>34</v>
      </c>
      <c r="M231" s="101" t="s">
        <v>34</v>
      </c>
      <c r="N231" s="88" t="s">
        <v>36</v>
      </c>
      <c r="O231" s="104" t="e">
        <f>VLOOKUP(E231,'[2]STOCK  19.09.2017'!$F$6:$I$233,4,0)</f>
        <v>#N/A</v>
      </c>
    </row>
    <row r="232" spans="1:15" ht="18.75" customHeight="1">
      <c r="A232" s="85">
        <v>279</v>
      </c>
      <c r="B232" s="102" t="s">
        <v>33</v>
      </c>
      <c r="C232" s="86">
        <v>4006</v>
      </c>
      <c r="D232" s="87" t="s">
        <v>274</v>
      </c>
      <c r="E232" s="102">
        <v>50001902</v>
      </c>
      <c r="F232" s="103" t="s">
        <v>193</v>
      </c>
      <c r="G232" s="102"/>
      <c r="H232" s="101" t="s">
        <v>34</v>
      </c>
      <c r="I232" s="101" t="s">
        <v>34</v>
      </c>
      <c r="J232" s="101" t="s">
        <v>34</v>
      </c>
      <c r="K232" s="101" t="s">
        <v>34</v>
      </c>
      <c r="L232" s="101" t="s">
        <v>34</v>
      </c>
      <c r="M232" s="101" t="s">
        <v>34</v>
      </c>
      <c r="N232" s="88" t="s">
        <v>36</v>
      </c>
      <c r="O232" s="104" t="e">
        <f>VLOOKUP(E232,'[2]STOCK  19.09.2017'!$F$6:$I$233,4,0)</f>
        <v>#N/A</v>
      </c>
    </row>
    <row r="233" spans="1:15" ht="18.75" customHeight="1">
      <c r="A233" s="85">
        <v>280</v>
      </c>
      <c r="B233" s="102" t="s">
        <v>33</v>
      </c>
      <c r="C233" s="86">
        <v>4006</v>
      </c>
      <c r="D233" s="87" t="s">
        <v>274</v>
      </c>
      <c r="E233" s="102">
        <v>50001903</v>
      </c>
      <c r="F233" s="103" t="s">
        <v>194</v>
      </c>
      <c r="G233" s="102"/>
      <c r="H233" s="101" t="s">
        <v>34</v>
      </c>
      <c r="I233" s="101" t="s">
        <v>34</v>
      </c>
      <c r="J233" s="101" t="s">
        <v>34</v>
      </c>
      <c r="K233" s="101" t="s">
        <v>34</v>
      </c>
      <c r="L233" s="101" t="s">
        <v>34</v>
      </c>
      <c r="M233" s="101" t="s">
        <v>34</v>
      </c>
      <c r="N233" s="88" t="s">
        <v>36</v>
      </c>
      <c r="O233" s="104">
        <f>VLOOKUP(E233,'[2]STOCK  19.09.2017'!$F$6:$I$233,4,0)</f>
        <v>191</v>
      </c>
    </row>
    <row r="234" spans="1:15" ht="18.75" customHeight="1">
      <c r="A234" s="85">
        <v>281</v>
      </c>
      <c r="B234" s="102" t="s">
        <v>33</v>
      </c>
      <c r="C234" s="86">
        <v>4006</v>
      </c>
      <c r="D234" s="87" t="s">
        <v>274</v>
      </c>
      <c r="E234" s="102">
        <v>50001975</v>
      </c>
      <c r="F234" s="103" t="s">
        <v>195</v>
      </c>
      <c r="G234" s="102"/>
      <c r="H234" s="101" t="s">
        <v>34</v>
      </c>
      <c r="I234" s="101" t="s">
        <v>34</v>
      </c>
      <c r="J234" s="101" t="s">
        <v>34</v>
      </c>
      <c r="K234" s="101" t="s">
        <v>34</v>
      </c>
      <c r="L234" s="101" t="s">
        <v>34</v>
      </c>
      <c r="M234" s="101" t="s">
        <v>34</v>
      </c>
      <c r="N234" s="88" t="s">
        <v>36</v>
      </c>
      <c r="O234" s="104" t="e">
        <f>VLOOKUP(E234,'[2]STOCK  19.09.2017'!$F$6:$I$233,4,0)</f>
        <v>#N/A</v>
      </c>
    </row>
    <row r="235" spans="1:15" ht="18.75" customHeight="1">
      <c r="A235" s="85">
        <v>282</v>
      </c>
      <c r="B235" s="102" t="s">
        <v>33</v>
      </c>
      <c r="C235" s="86">
        <v>4006</v>
      </c>
      <c r="D235" s="87" t="s">
        <v>274</v>
      </c>
      <c r="E235" s="90">
        <v>50002067</v>
      </c>
      <c r="F235" s="105" t="s">
        <v>196</v>
      </c>
      <c r="G235" s="102"/>
      <c r="H235" s="101" t="s">
        <v>34</v>
      </c>
      <c r="I235" s="101" t="s">
        <v>34</v>
      </c>
      <c r="J235" s="101" t="s">
        <v>34</v>
      </c>
      <c r="K235" s="101" t="s">
        <v>34</v>
      </c>
      <c r="L235" s="101" t="s">
        <v>34</v>
      </c>
      <c r="M235" s="101" t="s">
        <v>34</v>
      </c>
      <c r="N235" s="88" t="s">
        <v>36</v>
      </c>
      <c r="O235" s="104">
        <f>VLOOKUP(E235,'[2]STOCK  19.09.2017'!$F$6:$I$233,4,0)</f>
        <v>12</v>
      </c>
    </row>
    <row r="236" spans="1:15" ht="18.75" customHeight="1">
      <c r="A236" s="85">
        <v>283</v>
      </c>
      <c r="B236" s="102" t="s">
        <v>33</v>
      </c>
      <c r="C236" s="86">
        <v>4006</v>
      </c>
      <c r="D236" s="87" t="s">
        <v>274</v>
      </c>
      <c r="E236" s="90">
        <v>50002068</v>
      </c>
      <c r="F236" s="105" t="s">
        <v>197</v>
      </c>
      <c r="G236" s="102"/>
      <c r="H236" s="101" t="s">
        <v>34</v>
      </c>
      <c r="I236" s="101" t="s">
        <v>34</v>
      </c>
      <c r="J236" s="101" t="s">
        <v>34</v>
      </c>
      <c r="K236" s="101" t="s">
        <v>34</v>
      </c>
      <c r="L236" s="101" t="s">
        <v>34</v>
      </c>
      <c r="M236" s="101" t="s">
        <v>34</v>
      </c>
      <c r="N236" s="88" t="s">
        <v>36</v>
      </c>
      <c r="O236" s="104">
        <f>VLOOKUP(E236,'[2]STOCK  19.09.2017'!$F$6:$I$233,4,0)</f>
        <v>100</v>
      </c>
    </row>
    <row r="237" spans="1:15" ht="18.75" customHeight="1">
      <c r="A237" s="85">
        <v>284</v>
      </c>
      <c r="B237" s="102" t="s">
        <v>33</v>
      </c>
      <c r="C237" s="86">
        <v>4006</v>
      </c>
      <c r="D237" s="87" t="s">
        <v>274</v>
      </c>
      <c r="E237" s="102">
        <v>50002076</v>
      </c>
      <c r="F237" s="103" t="s">
        <v>198</v>
      </c>
      <c r="G237" s="102"/>
      <c r="H237" s="101" t="s">
        <v>34</v>
      </c>
      <c r="I237" s="101" t="s">
        <v>34</v>
      </c>
      <c r="J237" s="101" t="s">
        <v>34</v>
      </c>
      <c r="K237" s="101" t="s">
        <v>34</v>
      </c>
      <c r="L237" s="101" t="s">
        <v>34</v>
      </c>
      <c r="M237" s="101" t="s">
        <v>34</v>
      </c>
      <c r="N237" s="88" t="s">
        <v>36</v>
      </c>
      <c r="O237" s="104" t="e">
        <f>VLOOKUP(E237,'[2]STOCK  19.09.2017'!$F$6:$I$233,4,0)</f>
        <v>#N/A</v>
      </c>
    </row>
    <row r="238" spans="1:15" ht="18.75" customHeight="1">
      <c r="A238" s="85">
        <v>285</v>
      </c>
      <c r="B238" s="102" t="s">
        <v>33</v>
      </c>
      <c r="C238" s="86">
        <v>4006</v>
      </c>
      <c r="D238" s="87" t="s">
        <v>274</v>
      </c>
      <c r="E238" s="102">
        <v>50002118</v>
      </c>
      <c r="F238" s="103" t="s">
        <v>199</v>
      </c>
      <c r="G238" s="102"/>
      <c r="H238" s="101" t="s">
        <v>34</v>
      </c>
      <c r="I238" s="101" t="s">
        <v>34</v>
      </c>
      <c r="J238" s="101" t="s">
        <v>34</v>
      </c>
      <c r="K238" s="101" t="s">
        <v>34</v>
      </c>
      <c r="L238" s="101" t="s">
        <v>34</v>
      </c>
      <c r="M238" s="101" t="s">
        <v>34</v>
      </c>
      <c r="N238" s="88" t="s">
        <v>36</v>
      </c>
      <c r="O238" s="104" t="e">
        <f>VLOOKUP(E238,'[2]STOCK  19.09.2017'!$F$6:$I$233,4,0)</f>
        <v>#N/A</v>
      </c>
    </row>
    <row r="239" spans="1:15" ht="18.75" customHeight="1">
      <c r="A239" s="85">
        <v>286</v>
      </c>
      <c r="B239" s="102" t="s">
        <v>33</v>
      </c>
      <c r="C239" s="86">
        <v>4006</v>
      </c>
      <c r="D239" s="87" t="s">
        <v>274</v>
      </c>
      <c r="E239" s="102">
        <v>50002222</v>
      </c>
      <c r="F239" s="103" t="s">
        <v>200</v>
      </c>
      <c r="G239" s="102"/>
      <c r="H239" s="101" t="s">
        <v>34</v>
      </c>
      <c r="I239" s="101" t="s">
        <v>34</v>
      </c>
      <c r="J239" s="101" t="s">
        <v>34</v>
      </c>
      <c r="K239" s="101" t="s">
        <v>34</v>
      </c>
      <c r="L239" s="101" t="s">
        <v>34</v>
      </c>
      <c r="M239" s="101" t="s">
        <v>34</v>
      </c>
      <c r="N239" s="88" t="s">
        <v>36</v>
      </c>
      <c r="O239" s="104" t="e">
        <f>VLOOKUP(E239,'[2]STOCK  19.09.2017'!$F$6:$I$233,4,0)</f>
        <v>#N/A</v>
      </c>
    </row>
    <row r="240" spans="1:15" ht="18.75" customHeight="1">
      <c r="A240" s="85">
        <v>287</v>
      </c>
      <c r="B240" s="102" t="s">
        <v>33</v>
      </c>
      <c r="C240" s="86">
        <v>4006</v>
      </c>
      <c r="D240" s="87" t="s">
        <v>274</v>
      </c>
      <c r="E240" s="102">
        <v>50002225</v>
      </c>
      <c r="F240" s="103" t="s">
        <v>201</v>
      </c>
      <c r="G240" s="102"/>
      <c r="H240" s="101" t="s">
        <v>34</v>
      </c>
      <c r="I240" s="101" t="s">
        <v>34</v>
      </c>
      <c r="J240" s="101" t="s">
        <v>34</v>
      </c>
      <c r="K240" s="101" t="s">
        <v>34</v>
      </c>
      <c r="L240" s="101" t="s">
        <v>34</v>
      </c>
      <c r="M240" s="101" t="s">
        <v>34</v>
      </c>
      <c r="N240" s="88" t="s">
        <v>36</v>
      </c>
      <c r="O240" s="104" t="e">
        <f>VLOOKUP(E240,'[2]STOCK  19.09.2017'!$F$6:$I$233,4,0)</f>
        <v>#N/A</v>
      </c>
    </row>
    <row r="241" spans="1:15" ht="18.75" customHeight="1">
      <c r="A241" s="85">
        <v>288</v>
      </c>
      <c r="B241" s="102" t="s">
        <v>33</v>
      </c>
      <c r="C241" s="86">
        <v>4006</v>
      </c>
      <c r="D241" s="87" t="s">
        <v>274</v>
      </c>
      <c r="E241" s="102">
        <v>50002228</v>
      </c>
      <c r="F241" s="103" t="s">
        <v>202</v>
      </c>
      <c r="G241" s="102"/>
      <c r="H241" s="101" t="s">
        <v>34</v>
      </c>
      <c r="I241" s="101" t="s">
        <v>34</v>
      </c>
      <c r="J241" s="101" t="s">
        <v>34</v>
      </c>
      <c r="K241" s="101" t="s">
        <v>34</v>
      </c>
      <c r="L241" s="101" t="s">
        <v>34</v>
      </c>
      <c r="M241" s="101" t="s">
        <v>34</v>
      </c>
      <c r="N241" s="88" t="s">
        <v>36</v>
      </c>
      <c r="O241" s="104" t="e">
        <f>VLOOKUP(E241,'[2]STOCK  19.09.2017'!$F$6:$I$233,4,0)</f>
        <v>#N/A</v>
      </c>
    </row>
    <row r="242" spans="1:15" ht="18.75" customHeight="1">
      <c r="A242" s="85">
        <v>289</v>
      </c>
      <c r="B242" s="102" t="s">
        <v>33</v>
      </c>
      <c r="C242" s="86">
        <v>4006</v>
      </c>
      <c r="D242" s="87" t="s">
        <v>274</v>
      </c>
      <c r="E242" s="102">
        <v>50002230</v>
      </c>
      <c r="F242" s="103" t="s">
        <v>203</v>
      </c>
      <c r="G242" s="102"/>
      <c r="H242" s="101" t="s">
        <v>34</v>
      </c>
      <c r="I242" s="101" t="s">
        <v>34</v>
      </c>
      <c r="J242" s="101" t="s">
        <v>34</v>
      </c>
      <c r="K242" s="101" t="s">
        <v>34</v>
      </c>
      <c r="L242" s="101" t="s">
        <v>34</v>
      </c>
      <c r="M242" s="101" t="s">
        <v>34</v>
      </c>
      <c r="N242" s="88" t="s">
        <v>36</v>
      </c>
      <c r="O242" s="104" t="e">
        <f>VLOOKUP(E242,'[2]STOCK  19.09.2017'!$F$6:$I$233,4,0)</f>
        <v>#N/A</v>
      </c>
    </row>
    <row r="243" spans="1:15" ht="18.75" customHeight="1">
      <c r="A243" s="85">
        <v>290</v>
      </c>
      <c r="B243" s="102" t="s">
        <v>33</v>
      </c>
      <c r="C243" s="86">
        <v>4006</v>
      </c>
      <c r="D243" s="87" t="s">
        <v>274</v>
      </c>
      <c r="E243" s="102">
        <v>50002248</v>
      </c>
      <c r="F243" s="103" t="s">
        <v>204</v>
      </c>
      <c r="G243" s="102"/>
      <c r="H243" s="101" t="s">
        <v>34</v>
      </c>
      <c r="I243" s="101" t="s">
        <v>34</v>
      </c>
      <c r="J243" s="101" t="s">
        <v>34</v>
      </c>
      <c r="K243" s="101" t="s">
        <v>34</v>
      </c>
      <c r="L243" s="101" t="s">
        <v>34</v>
      </c>
      <c r="M243" s="101" t="s">
        <v>34</v>
      </c>
      <c r="N243" s="88" t="s">
        <v>36</v>
      </c>
      <c r="O243" s="104" t="e">
        <f>VLOOKUP(E243,'[2]STOCK  19.09.2017'!$F$6:$I$233,4,0)</f>
        <v>#N/A</v>
      </c>
    </row>
    <row r="244" spans="1:15" ht="18.75" customHeight="1">
      <c r="A244" s="85">
        <v>291</v>
      </c>
      <c r="B244" s="102" t="s">
        <v>33</v>
      </c>
      <c r="C244" s="86">
        <v>4006</v>
      </c>
      <c r="D244" s="87" t="s">
        <v>274</v>
      </c>
      <c r="E244" s="102">
        <v>50002267</v>
      </c>
      <c r="F244" s="103" t="s">
        <v>205</v>
      </c>
      <c r="G244" s="102"/>
      <c r="H244" s="101" t="s">
        <v>34</v>
      </c>
      <c r="I244" s="101" t="s">
        <v>34</v>
      </c>
      <c r="J244" s="101" t="s">
        <v>34</v>
      </c>
      <c r="K244" s="101" t="s">
        <v>34</v>
      </c>
      <c r="L244" s="101" t="s">
        <v>34</v>
      </c>
      <c r="M244" s="101" t="s">
        <v>34</v>
      </c>
      <c r="N244" s="88" t="s">
        <v>36</v>
      </c>
      <c r="O244" s="104" t="e">
        <f>VLOOKUP(E244,'[2]STOCK  19.09.2017'!$F$6:$I$233,4,0)</f>
        <v>#N/A</v>
      </c>
    </row>
    <row r="245" spans="1:15" ht="18.75" customHeight="1">
      <c r="A245" s="85">
        <v>292</v>
      </c>
      <c r="B245" s="102" t="s">
        <v>33</v>
      </c>
      <c r="C245" s="86">
        <v>4006</v>
      </c>
      <c r="D245" s="87" t="s">
        <v>274</v>
      </c>
      <c r="E245" s="102">
        <v>50002391</v>
      </c>
      <c r="F245" s="103" t="s">
        <v>206</v>
      </c>
      <c r="G245" s="102"/>
      <c r="H245" s="101" t="s">
        <v>34</v>
      </c>
      <c r="I245" s="101" t="s">
        <v>34</v>
      </c>
      <c r="J245" s="101" t="s">
        <v>34</v>
      </c>
      <c r="K245" s="101" t="s">
        <v>34</v>
      </c>
      <c r="L245" s="101" t="s">
        <v>34</v>
      </c>
      <c r="M245" s="101" t="s">
        <v>34</v>
      </c>
      <c r="N245" s="88" t="s">
        <v>36</v>
      </c>
      <c r="O245" s="104" t="e">
        <f>VLOOKUP(E245,'[2]STOCK  19.09.2017'!$F$6:$I$233,4,0)</f>
        <v>#N/A</v>
      </c>
    </row>
    <row r="246" spans="1:15" ht="18.75" customHeight="1">
      <c r="A246" s="85">
        <v>293</v>
      </c>
      <c r="B246" s="102" t="s">
        <v>33</v>
      </c>
      <c r="C246" s="86">
        <v>4006</v>
      </c>
      <c r="D246" s="87" t="s">
        <v>274</v>
      </c>
      <c r="E246" s="102">
        <v>50002393</v>
      </c>
      <c r="F246" s="103" t="s">
        <v>207</v>
      </c>
      <c r="G246" s="102"/>
      <c r="H246" s="101" t="s">
        <v>34</v>
      </c>
      <c r="I246" s="101" t="s">
        <v>34</v>
      </c>
      <c r="J246" s="101" t="s">
        <v>34</v>
      </c>
      <c r="K246" s="101" t="s">
        <v>34</v>
      </c>
      <c r="L246" s="101" t="s">
        <v>34</v>
      </c>
      <c r="M246" s="101" t="s">
        <v>34</v>
      </c>
      <c r="N246" s="88" t="s">
        <v>36</v>
      </c>
      <c r="O246" s="104" t="e">
        <f>VLOOKUP(E246,'[2]STOCK  19.09.2017'!$F$6:$I$233,4,0)</f>
        <v>#N/A</v>
      </c>
    </row>
    <row r="247" spans="1:15" ht="18.75" customHeight="1">
      <c r="A247" s="85">
        <v>294</v>
      </c>
      <c r="B247" s="102" t="s">
        <v>33</v>
      </c>
      <c r="C247" s="86">
        <v>4006</v>
      </c>
      <c r="D247" s="87" t="s">
        <v>274</v>
      </c>
      <c r="E247" s="102">
        <v>50002398</v>
      </c>
      <c r="F247" s="103" t="s">
        <v>208</v>
      </c>
      <c r="G247" s="102"/>
      <c r="H247" s="101" t="s">
        <v>34</v>
      </c>
      <c r="I247" s="101" t="s">
        <v>34</v>
      </c>
      <c r="J247" s="101" t="s">
        <v>34</v>
      </c>
      <c r="K247" s="101" t="s">
        <v>34</v>
      </c>
      <c r="L247" s="101" t="s">
        <v>34</v>
      </c>
      <c r="M247" s="101" t="s">
        <v>34</v>
      </c>
      <c r="N247" s="88" t="s">
        <v>36</v>
      </c>
      <c r="O247" s="104" t="e">
        <f>VLOOKUP(E247,'[2]STOCK  19.09.2017'!$F$6:$I$233,4,0)</f>
        <v>#N/A</v>
      </c>
    </row>
    <row r="248" spans="1:15" ht="18.75" customHeight="1">
      <c r="A248" s="85">
        <v>295</v>
      </c>
      <c r="B248" s="102" t="s">
        <v>33</v>
      </c>
      <c r="C248" s="86">
        <v>4006</v>
      </c>
      <c r="D248" s="87" t="s">
        <v>274</v>
      </c>
      <c r="E248" s="102">
        <v>50002407</v>
      </c>
      <c r="F248" s="103" t="s">
        <v>209</v>
      </c>
      <c r="G248" s="102"/>
      <c r="H248" s="101" t="s">
        <v>34</v>
      </c>
      <c r="I248" s="101" t="s">
        <v>34</v>
      </c>
      <c r="J248" s="101" t="s">
        <v>34</v>
      </c>
      <c r="K248" s="101" t="s">
        <v>34</v>
      </c>
      <c r="L248" s="101" t="s">
        <v>34</v>
      </c>
      <c r="M248" s="101" t="s">
        <v>34</v>
      </c>
      <c r="N248" s="88" t="s">
        <v>36</v>
      </c>
      <c r="O248" s="104" t="e">
        <f>VLOOKUP(E248,'[2]STOCK  19.09.2017'!$F$6:$I$233,4,0)</f>
        <v>#N/A</v>
      </c>
    </row>
    <row r="249" spans="1:15" ht="18.75" customHeight="1">
      <c r="A249" s="85">
        <v>296</v>
      </c>
      <c r="B249" s="102" t="s">
        <v>33</v>
      </c>
      <c r="C249" s="86">
        <v>4006</v>
      </c>
      <c r="D249" s="87" t="s">
        <v>274</v>
      </c>
      <c r="E249" s="102">
        <v>50003675</v>
      </c>
      <c r="F249" s="103" t="s">
        <v>210</v>
      </c>
      <c r="G249" s="102"/>
      <c r="H249" s="101" t="s">
        <v>34</v>
      </c>
      <c r="I249" s="101" t="s">
        <v>34</v>
      </c>
      <c r="J249" s="101" t="s">
        <v>34</v>
      </c>
      <c r="K249" s="101" t="s">
        <v>34</v>
      </c>
      <c r="L249" s="101" t="s">
        <v>34</v>
      </c>
      <c r="M249" s="101" t="s">
        <v>34</v>
      </c>
      <c r="N249" s="88" t="s">
        <v>36</v>
      </c>
      <c r="O249" s="104" t="e">
        <f>VLOOKUP(E249,'[2]STOCK  19.09.2017'!$F$6:$I$233,4,0)</f>
        <v>#N/A</v>
      </c>
    </row>
    <row r="250" spans="1:15" ht="18.75" customHeight="1">
      <c r="A250" s="85">
        <v>297</v>
      </c>
      <c r="B250" s="102" t="s">
        <v>33</v>
      </c>
      <c r="C250" s="86">
        <v>4006</v>
      </c>
      <c r="D250" s="87" t="s">
        <v>274</v>
      </c>
      <c r="E250" s="102">
        <v>50003689</v>
      </c>
      <c r="F250" s="103" t="s">
        <v>211</v>
      </c>
      <c r="G250" s="102"/>
      <c r="H250" s="101">
        <v>200</v>
      </c>
      <c r="I250" s="101">
        <v>100</v>
      </c>
      <c r="J250" s="101">
        <v>100</v>
      </c>
      <c r="K250" s="101" t="s">
        <v>34</v>
      </c>
      <c r="L250" s="101" t="s">
        <v>34</v>
      </c>
      <c r="M250" s="101" t="s">
        <v>34</v>
      </c>
      <c r="N250" s="88" t="s">
        <v>36</v>
      </c>
      <c r="O250" s="104">
        <f>VLOOKUP(E250,'[2]STOCK  19.09.2017'!$F$6:$I$233,4,0)</f>
        <v>16</v>
      </c>
    </row>
    <row r="251" spans="1:15" ht="18.75" customHeight="1">
      <c r="A251" s="85">
        <v>298</v>
      </c>
      <c r="B251" s="102" t="s">
        <v>33</v>
      </c>
      <c r="C251" s="86">
        <v>4006</v>
      </c>
      <c r="D251" s="87" t="s">
        <v>274</v>
      </c>
      <c r="E251" s="102">
        <v>50004111</v>
      </c>
      <c r="F251" s="103" t="s">
        <v>212</v>
      </c>
      <c r="G251" s="102"/>
      <c r="H251" s="101" t="s">
        <v>34</v>
      </c>
      <c r="I251" s="101" t="s">
        <v>34</v>
      </c>
      <c r="J251" s="101" t="s">
        <v>34</v>
      </c>
      <c r="K251" s="101" t="s">
        <v>34</v>
      </c>
      <c r="L251" s="101" t="s">
        <v>34</v>
      </c>
      <c r="M251" s="101" t="s">
        <v>34</v>
      </c>
      <c r="N251" s="88" t="s">
        <v>36</v>
      </c>
      <c r="O251" s="104" t="e">
        <f>VLOOKUP(E251,'[2]STOCK  19.09.2017'!$F$6:$I$233,4,0)</f>
        <v>#N/A</v>
      </c>
    </row>
    <row r="252" spans="1:15" ht="18.75" customHeight="1">
      <c r="A252" s="85">
        <v>299</v>
      </c>
      <c r="B252" s="102" t="s">
        <v>33</v>
      </c>
      <c r="C252" s="86">
        <v>4006</v>
      </c>
      <c r="D252" s="87" t="s">
        <v>274</v>
      </c>
      <c r="E252" s="102">
        <v>50004234</v>
      </c>
      <c r="F252" s="103" t="s">
        <v>213</v>
      </c>
      <c r="G252" s="102"/>
      <c r="H252" s="101">
        <v>1200</v>
      </c>
      <c r="I252" s="101">
        <v>1200</v>
      </c>
      <c r="J252" s="101" t="s">
        <v>34</v>
      </c>
      <c r="K252" s="101" t="s">
        <v>34</v>
      </c>
      <c r="L252" s="101" t="s">
        <v>34</v>
      </c>
      <c r="M252" s="101" t="s">
        <v>34</v>
      </c>
      <c r="N252" s="88" t="s">
        <v>36</v>
      </c>
      <c r="O252" s="104">
        <f>VLOOKUP(E252,'[2]STOCK  19.09.2017'!$F$6:$I$233,4,0)</f>
        <v>300</v>
      </c>
    </row>
    <row r="253" spans="1:15" ht="18.75" customHeight="1">
      <c r="A253" s="85">
        <v>300</v>
      </c>
      <c r="B253" s="102" t="s">
        <v>33</v>
      </c>
      <c r="C253" s="86">
        <v>4006</v>
      </c>
      <c r="D253" s="87" t="s">
        <v>274</v>
      </c>
      <c r="E253" s="102">
        <v>50005223</v>
      </c>
      <c r="F253" s="103" t="s">
        <v>284</v>
      </c>
      <c r="G253" s="102"/>
      <c r="H253" s="101" t="s">
        <v>34</v>
      </c>
      <c r="I253" s="101" t="s">
        <v>34</v>
      </c>
      <c r="J253" s="101" t="s">
        <v>34</v>
      </c>
      <c r="K253" s="101" t="s">
        <v>34</v>
      </c>
      <c r="L253" s="101" t="s">
        <v>34</v>
      </c>
      <c r="M253" s="101"/>
      <c r="N253" s="88" t="s">
        <v>36</v>
      </c>
      <c r="O253" s="104">
        <f>VLOOKUP(E253,'[2]STOCK  19.09.2017'!$F$6:$I$233,4,0)</f>
        <v>280</v>
      </c>
    </row>
    <row r="254" spans="1:15" ht="18.75" customHeight="1">
      <c r="A254" s="85">
        <v>301</v>
      </c>
      <c r="B254" s="102" t="s">
        <v>33</v>
      </c>
      <c r="C254" s="86">
        <v>4006</v>
      </c>
      <c r="D254" s="87" t="s">
        <v>274</v>
      </c>
      <c r="E254" s="102">
        <v>50007613</v>
      </c>
      <c r="F254" s="103" t="s">
        <v>214</v>
      </c>
      <c r="G254" s="102"/>
      <c r="H254" s="101" t="s">
        <v>34</v>
      </c>
      <c r="I254" s="101" t="s">
        <v>34</v>
      </c>
      <c r="J254" s="101" t="s">
        <v>34</v>
      </c>
      <c r="K254" s="101" t="s">
        <v>34</v>
      </c>
      <c r="L254" s="101" t="s">
        <v>34</v>
      </c>
      <c r="M254" s="101" t="s">
        <v>34</v>
      </c>
      <c r="N254" s="88" t="s">
        <v>36</v>
      </c>
      <c r="O254" s="104" t="e">
        <f>VLOOKUP(E254,'[2]STOCK  19.09.2017'!$F$6:$I$233,4,0)</f>
        <v>#N/A</v>
      </c>
    </row>
    <row r="255" spans="1:15" ht="18.75" customHeight="1">
      <c r="A255" s="85">
        <v>302</v>
      </c>
      <c r="B255" s="102" t="s">
        <v>33</v>
      </c>
      <c r="C255" s="86">
        <v>4006</v>
      </c>
      <c r="D255" s="87" t="s">
        <v>274</v>
      </c>
      <c r="E255" s="102">
        <v>50008546</v>
      </c>
      <c r="F255" s="103" t="s">
        <v>215</v>
      </c>
      <c r="G255" s="102"/>
      <c r="H255" s="101" t="s">
        <v>34</v>
      </c>
      <c r="I255" s="101" t="s">
        <v>34</v>
      </c>
      <c r="J255" s="101" t="s">
        <v>34</v>
      </c>
      <c r="K255" s="101" t="s">
        <v>34</v>
      </c>
      <c r="L255" s="101" t="s">
        <v>34</v>
      </c>
      <c r="M255" s="101" t="s">
        <v>34</v>
      </c>
      <c r="N255" s="88" t="s">
        <v>36</v>
      </c>
      <c r="O255" s="104" t="e">
        <f>VLOOKUP(E255,'[2]STOCK  19.09.2017'!$F$6:$I$233,4,0)</f>
        <v>#N/A</v>
      </c>
    </row>
    <row r="256" spans="1:15" ht="18.75" customHeight="1">
      <c r="A256" s="85">
        <v>303</v>
      </c>
      <c r="B256" s="102" t="s">
        <v>33</v>
      </c>
      <c r="C256" s="86">
        <v>4006</v>
      </c>
      <c r="D256" s="87" t="s">
        <v>274</v>
      </c>
      <c r="E256" s="102">
        <v>50008547</v>
      </c>
      <c r="F256" s="103" t="s">
        <v>216</v>
      </c>
      <c r="G256" s="102"/>
      <c r="H256" s="101" t="s">
        <v>34</v>
      </c>
      <c r="I256" s="101" t="s">
        <v>34</v>
      </c>
      <c r="J256" s="101" t="s">
        <v>34</v>
      </c>
      <c r="K256" s="101" t="s">
        <v>34</v>
      </c>
      <c r="L256" s="101" t="s">
        <v>34</v>
      </c>
      <c r="M256" s="101" t="s">
        <v>34</v>
      </c>
      <c r="N256" s="88" t="s">
        <v>36</v>
      </c>
      <c r="O256" s="104" t="e">
        <f>VLOOKUP(E256,'[2]STOCK  19.09.2017'!$F$6:$I$233,4,0)</f>
        <v>#N/A</v>
      </c>
    </row>
    <row r="257" spans="1:15" ht="18.75" customHeight="1">
      <c r="A257" s="85">
        <v>304</v>
      </c>
      <c r="B257" s="102" t="s">
        <v>33</v>
      </c>
      <c r="C257" s="86">
        <v>4006</v>
      </c>
      <c r="D257" s="87" t="s">
        <v>274</v>
      </c>
      <c r="E257" s="102">
        <v>50008712</v>
      </c>
      <c r="F257" s="103" t="s">
        <v>217</v>
      </c>
      <c r="G257" s="102"/>
      <c r="H257" s="101" t="s">
        <v>34</v>
      </c>
      <c r="I257" s="101" t="s">
        <v>34</v>
      </c>
      <c r="J257" s="101" t="s">
        <v>34</v>
      </c>
      <c r="K257" s="101" t="s">
        <v>34</v>
      </c>
      <c r="L257" s="101" t="s">
        <v>34</v>
      </c>
      <c r="M257" s="101" t="s">
        <v>34</v>
      </c>
      <c r="N257" s="88" t="s">
        <v>36</v>
      </c>
      <c r="O257" s="104" t="e">
        <f>VLOOKUP(E257,'[2]STOCK  19.09.2017'!$F$6:$I$233,4,0)</f>
        <v>#N/A</v>
      </c>
    </row>
    <row r="258" spans="1:15" ht="18.75" customHeight="1">
      <c r="A258" s="85">
        <v>305</v>
      </c>
      <c r="B258" s="102" t="s">
        <v>33</v>
      </c>
      <c r="C258" s="86">
        <v>4006</v>
      </c>
      <c r="D258" s="87" t="s">
        <v>274</v>
      </c>
      <c r="E258" s="102">
        <v>50008713</v>
      </c>
      <c r="F258" s="103" t="s">
        <v>218</v>
      </c>
      <c r="G258" s="102"/>
      <c r="H258" s="101" t="s">
        <v>34</v>
      </c>
      <c r="I258" s="101" t="s">
        <v>34</v>
      </c>
      <c r="J258" s="101" t="s">
        <v>34</v>
      </c>
      <c r="K258" s="101" t="s">
        <v>34</v>
      </c>
      <c r="L258" s="101" t="s">
        <v>34</v>
      </c>
      <c r="M258" s="101" t="s">
        <v>34</v>
      </c>
      <c r="N258" s="88" t="s">
        <v>36</v>
      </c>
      <c r="O258" s="104" t="e">
        <f>VLOOKUP(E258,'[2]STOCK  19.09.2017'!$F$6:$I$233,4,0)</f>
        <v>#N/A</v>
      </c>
    </row>
    <row r="259" spans="1:15" ht="18.75" customHeight="1">
      <c r="A259" s="85">
        <v>306</v>
      </c>
      <c r="B259" s="102" t="s">
        <v>33</v>
      </c>
      <c r="C259" s="86">
        <v>4006</v>
      </c>
      <c r="D259" s="87" t="s">
        <v>274</v>
      </c>
      <c r="E259" s="102">
        <v>50008932</v>
      </c>
      <c r="F259" s="103" t="s">
        <v>219</v>
      </c>
      <c r="G259" s="102"/>
      <c r="H259" s="101" t="s">
        <v>34</v>
      </c>
      <c r="I259" s="101" t="s">
        <v>34</v>
      </c>
      <c r="J259" s="101" t="s">
        <v>34</v>
      </c>
      <c r="K259" s="101" t="s">
        <v>34</v>
      </c>
      <c r="L259" s="101" t="s">
        <v>34</v>
      </c>
      <c r="M259" s="101" t="s">
        <v>34</v>
      </c>
      <c r="N259" s="88" t="s">
        <v>36</v>
      </c>
      <c r="O259" s="104" t="e">
        <f>VLOOKUP(E259,'[2]STOCK  19.09.2017'!$F$6:$I$233,4,0)</f>
        <v>#N/A</v>
      </c>
    </row>
    <row r="260" spans="1:15" ht="18.75" customHeight="1">
      <c r="A260" s="85">
        <v>307</v>
      </c>
      <c r="B260" s="102" t="s">
        <v>33</v>
      </c>
      <c r="C260" s="86">
        <v>4006</v>
      </c>
      <c r="D260" s="87" t="s">
        <v>274</v>
      </c>
      <c r="E260" s="102">
        <v>50009029</v>
      </c>
      <c r="F260" s="103" t="s">
        <v>220</v>
      </c>
      <c r="G260" s="102"/>
      <c r="H260" s="101" t="s">
        <v>34</v>
      </c>
      <c r="I260" s="101" t="s">
        <v>34</v>
      </c>
      <c r="J260" s="101" t="s">
        <v>34</v>
      </c>
      <c r="K260" s="101" t="s">
        <v>34</v>
      </c>
      <c r="L260" s="101" t="s">
        <v>34</v>
      </c>
      <c r="M260" s="101" t="s">
        <v>34</v>
      </c>
      <c r="N260" s="88" t="s">
        <v>36</v>
      </c>
      <c r="O260" s="104" t="e">
        <f>VLOOKUP(E260,'[2]STOCK  19.09.2017'!$F$6:$I$233,4,0)</f>
        <v>#N/A</v>
      </c>
    </row>
    <row r="261" spans="1:15" ht="18.75" customHeight="1">
      <c r="A261" s="85">
        <v>308</v>
      </c>
      <c r="B261" s="102" t="s">
        <v>33</v>
      </c>
      <c r="C261" s="86">
        <v>4006</v>
      </c>
      <c r="D261" s="87" t="s">
        <v>274</v>
      </c>
      <c r="E261" s="102">
        <v>50009121</v>
      </c>
      <c r="F261" s="103" t="s">
        <v>221</v>
      </c>
      <c r="G261" s="102"/>
      <c r="H261" s="101" t="s">
        <v>34</v>
      </c>
      <c r="I261" s="101" t="s">
        <v>34</v>
      </c>
      <c r="J261" s="101" t="s">
        <v>34</v>
      </c>
      <c r="K261" s="101" t="s">
        <v>34</v>
      </c>
      <c r="L261" s="101" t="s">
        <v>34</v>
      </c>
      <c r="M261" s="101" t="s">
        <v>34</v>
      </c>
      <c r="N261" s="88" t="s">
        <v>36</v>
      </c>
      <c r="O261" s="104" t="e">
        <f>VLOOKUP(E261,'[2]STOCK  19.09.2017'!$F$6:$I$233,4,0)</f>
        <v>#N/A</v>
      </c>
    </row>
    <row r="262" spans="1:15" ht="18.75" customHeight="1">
      <c r="A262" s="85">
        <v>309</v>
      </c>
      <c r="B262" s="102" t="s">
        <v>33</v>
      </c>
      <c r="C262" s="86">
        <v>4006</v>
      </c>
      <c r="D262" s="87" t="s">
        <v>274</v>
      </c>
      <c r="E262" s="90">
        <v>50009210</v>
      </c>
      <c r="F262" s="105" t="s">
        <v>151</v>
      </c>
      <c r="G262" s="102"/>
      <c r="H262" s="101" t="s">
        <v>34</v>
      </c>
      <c r="I262" s="101" t="s">
        <v>34</v>
      </c>
      <c r="J262" s="101" t="s">
        <v>34</v>
      </c>
      <c r="K262" s="101" t="s">
        <v>34</v>
      </c>
      <c r="L262" s="101" t="s">
        <v>34</v>
      </c>
      <c r="M262" s="101" t="s">
        <v>34</v>
      </c>
      <c r="N262" s="88" t="s">
        <v>36</v>
      </c>
      <c r="O262" s="104">
        <f>VLOOKUP(E262,'[2]STOCK  19.09.2017'!$F$6:$I$233,4,0)</f>
        <v>50</v>
      </c>
    </row>
    <row r="263" spans="1:15" ht="18.75" customHeight="1">
      <c r="A263" s="85">
        <v>310</v>
      </c>
      <c r="B263" s="102" t="s">
        <v>33</v>
      </c>
      <c r="C263" s="86">
        <v>4006</v>
      </c>
      <c r="D263" s="87" t="s">
        <v>274</v>
      </c>
      <c r="E263" s="102">
        <v>50009525</v>
      </c>
      <c r="F263" s="103" t="s">
        <v>222</v>
      </c>
      <c r="G263" s="102"/>
      <c r="H263" s="101" t="s">
        <v>34</v>
      </c>
      <c r="I263" s="101" t="s">
        <v>34</v>
      </c>
      <c r="J263" s="101" t="s">
        <v>34</v>
      </c>
      <c r="K263" s="101" t="s">
        <v>34</v>
      </c>
      <c r="L263" s="101" t="s">
        <v>34</v>
      </c>
      <c r="M263" s="101" t="s">
        <v>34</v>
      </c>
      <c r="N263" s="88" t="s">
        <v>36</v>
      </c>
      <c r="O263" s="104" t="e">
        <f>VLOOKUP(E263,'[2]STOCK  19.09.2017'!$F$6:$I$233,4,0)</f>
        <v>#N/A</v>
      </c>
    </row>
    <row r="264" spans="1:15" ht="18.75" customHeight="1">
      <c r="A264" s="85">
        <v>311</v>
      </c>
      <c r="B264" s="102" t="s">
        <v>33</v>
      </c>
      <c r="C264" s="86">
        <v>4006</v>
      </c>
      <c r="D264" s="87" t="s">
        <v>274</v>
      </c>
      <c r="E264" s="102">
        <v>50009665</v>
      </c>
      <c r="F264" s="103" t="s">
        <v>223</v>
      </c>
      <c r="G264" s="102"/>
      <c r="H264" s="101">
        <v>1000</v>
      </c>
      <c r="I264" s="101">
        <v>2600</v>
      </c>
      <c r="J264" s="101">
        <v>5200</v>
      </c>
      <c r="K264" s="101">
        <v>3800</v>
      </c>
      <c r="L264" s="101" t="s">
        <v>34</v>
      </c>
      <c r="M264" s="101" t="s">
        <v>34</v>
      </c>
      <c r="N264" s="88" t="s">
        <v>36</v>
      </c>
      <c r="O264" s="104">
        <f>VLOOKUP(E264,'[2]STOCK  19.09.2017'!$F$6:$I$233,4,0)</f>
        <v>1362</v>
      </c>
    </row>
    <row r="265" spans="1:15" ht="18.75" customHeight="1">
      <c r="A265" s="85">
        <v>312</v>
      </c>
      <c r="B265" s="102" t="s">
        <v>33</v>
      </c>
      <c r="C265" s="86">
        <v>4006</v>
      </c>
      <c r="D265" s="87" t="s">
        <v>274</v>
      </c>
      <c r="E265" s="102">
        <v>50009666</v>
      </c>
      <c r="F265" s="103" t="s">
        <v>224</v>
      </c>
      <c r="G265" s="102"/>
      <c r="H265" s="101">
        <v>600</v>
      </c>
      <c r="I265" s="101">
        <v>1400</v>
      </c>
      <c r="J265" s="101">
        <v>2600</v>
      </c>
      <c r="K265" s="101">
        <v>1600</v>
      </c>
      <c r="L265" s="101" t="s">
        <v>34</v>
      </c>
      <c r="M265" s="101" t="s">
        <v>34</v>
      </c>
      <c r="N265" s="88" t="s">
        <v>36</v>
      </c>
      <c r="O265" s="104">
        <f>VLOOKUP(E265,'[2]STOCK  19.09.2017'!$F$6:$I$233,4,0)</f>
        <v>356</v>
      </c>
    </row>
    <row r="266" spans="1:15" ht="18.75" customHeight="1">
      <c r="A266" s="85">
        <v>313</v>
      </c>
      <c r="B266" s="102" t="s">
        <v>33</v>
      </c>
      <c r="C266" s="86">
        <v>4006</v>
      </c>
      <c r="D266" s="87" t="s">
        <v>274</v>
      </c>
      <c r="E266" s="102">
        <v>50009667</v>
      </c>
      <c r="F266" s="103" t="s">
        <v>225</v>
      </c>
      <c r="G266" s="102"/>
      <c r="H266" s="101">
        <v>1200</v>
      </c>
      <c r="I266" s="101">
        <v>1200</v>
      </c>
      <c r="J266" s="101" t="s">
        <v>34</v>
      </c>
      <c r="K266" s="101" t="s">
        <v>34</v>
      </c>
      <c r="L266" s="101" t="s">
        <v>34</v>
      </c>
      <c r="M266" s="101" t="s">
        <v>34</v>
      </c>
      <c r="N266" s="88" t="s">
        <v>36</v>
      </c>
      <c r="O266" s="104">
        <f>VLOOKUP(E266,'[2]STOCK  19.09.2017'!$F$6:$I$233,4,0)</f>
        <v>300</v>
      </c>
    </row>
    <row r="267" spans="1:15" ht="18.75" customHeight="1">
      <c r="A267" s="85">
        <v>314</v>
      </c>
      <c r="B267" s="102" t="s">
        <v>33</v>
      </c>
      <c r="C267" s="86">
        <v>4006</v>
      </c>
      <c r="D267" s="87" t="s">
        <v>274</v>
      </c>
      <c r="E267" s="102">
        <v>50010064</v>
      </c>
      <c r="F267" s="103" t="s">
        <v>226</v>
      </c>
      <c r="G267" s="102"/>
      <c r="H267" s="101" t="s">
        <v>34</v>
      </c>
      <c r="I267" s="101" t="s">
        <v>34</v>
      </c>
      <c r="J267" s="101" t="s">
        <v>34</v>
      </c>
      <c r="K267" s="101" t="s">
        <v>34</v>
      </c>
      <c r="L267" s="101" t="s">
        <v>34</v>
      </c>
      <c r="M267" s="101" t="s">
        <v>34</v>
      </c>
      <c r="N267" s="88" t="s">
        <v>36</v>
      </c>
      <c r="O267" s="104" t="e">
        <f>VLOOKUP(E267,'[2]STOCK  19.09.2017'!$F$6:$I$233,4,0)</f>
        <v>#N/A</v>
      </c>
    </row>
    <row r="268" spans="1:15" ht="18.75" customHeight="1">
      <c r="A268" s="85">
        <v>315</v>
      </c>
      <c r="B268" s="102" t="s">
        <v>33</v>
      </c>
      <c r="C268" s="86">
        <v>4006</v>
      </c>
      <c r="D268" s="87" t="s">
        <v>274</v>
      </c>
      <c r="E268" s="102">
        <v>50010065</v>
      </c>
      <c r="F268" s="103" t="s">
        <v>227</v>
      </c>
      <c r="G268" s="102"/>
      <c r="H268" s="101" t="s">
        <v>34</v>
      </c>
      <c r="I268" s="101" t="s">
        <v>34</v>
      </c>
      <c r="J268" s="101" t="s">
        <v>34</v>
      </c>
      <c r="K268" s="101" t="s">
        <v>34</v>
      </c>
      <c r="L268" s="101" t="s">
        <v>34</v>
      </c>
      <c r="M268" s="101" t="s">
        <v>34</v>
      </c>
      <c r="N268" s="88" t="s">
        <v>36</v>
      </c>
      <c r="O268" s="104" t="e">
        <f>VLOOKUP(E268,'[2]STOCK  19.09.2017'!$F$6:$I$233,4,0)</f>
        <v>#N/A</v>
      </c>
    </row>
    <row r="269" spans="1:15" ht="18.75" customHeight="1">
      <c r="A269" s="85">
        <v>316</v>
      </c>
      <c r="B269" s="102" t="s">
        <v>33</v>
      </c>
      <c r="C269" s="86">
        <v>4006</v>
      </c>
      <c r="D269" s="87" t="s">
        <v>274</v>
      </c>
      <c r="E269" s="102">
        <v>50010510</v>
      </c>
      <c r="F269" s="103" t="s">
        <v>150</v>
      </c>
      <c r="G269" s="102"/>
      <c r="H269" s="101" t="s">
        <v>34</v>
      </c>
      <c r="I269" s="101" t="s">
        <v>34</v>
      </c>
      <c r="J269" s="101" t="s">
        <v>34</v>
      </c>
      <c r="K269" s="101" t="s">
        <v>34</v>
      </c>
      <c r="L269" s="101" t="s">
        <v>34</v>
      </c>
      <c r="M269" s="101" t="s">
        <v>34</v>
      </c>
      <c r="N269" s="88" t="s">
        <v>36</v>
      </c>
      <c r="O269" s="104" t="e">
        <f>VLOOKUP(E269,'[2]STOCK  19.09.2017'!$F$6:$I$233,4,0)</f>
        <v>#N/A</v>
      </c>
    </row>
    <row r="270" spans="1:15" ht="18.75" customHeight="1">
      <c r="A270" s="85">
        <v>317</v>
      </c>
      <c r="B270" s="102" t="s">
        <v>33</v>
      </c>
      <c r="C270" s="86">
        <v>4006</v>
      </c>
      <c r="D270" s="87" t="s">
        <v>274</v>
      </c>
      <c r="E270" s="102">
        <v>50014145</v>
      </c>
      <c r="F270" s="103" t="s">
        <v>228</v>
      </c>
      <c r="G270" s="102"/>
      <c r="H270" s="101" t="s">
        <v>34</v>
      </c>
      <c r="I270" s="101" t="s">
        <v>34</v>
      </c>
      <c r="J270" s="101" t="s">
        <v>34</v>
      </c>
      <c r="K270" s="101" t="s">
        <v>34</v>
      </c>
      <c r="L270" s="101" t="s">
        <v>34</v>
      </c>
      <c r="M270" s="101" t="s">
        <v>34</v>
      </c>
      <c r="N270" s="88" t="s">
        <v>36</v>
      </c>
      <c r="O270" s="104" t="e">
        <f>VLOOKUP(E270,'[2]STOCK  19.09.2017'!$F$6:$I$233,4,0)</f>
        <v>#N/A</v>
      </c>
    </row>
    <row r="271" spans="1:15" ht="18.75" customHeight="1">
      <c r="A271" s="85">
        <v>318</v>
      </c>
      <c r="B271" s="102" t="s">
        <v>33</v>
      </c>
      <c r="C271" s="86">
        <v>4006</v>
      </c>
      <c r="D271" s="87" t="s">
        <v>274</v>
      </c>
      <c r="E271" s="102">
        <v>50014668</v>
      </c>
      <c r="F271" s="103" t="s">
        <v>229</v>
      </c>
      <c r="G271" s="102"/>
      <c r="H271" s="101">
        <v>400</v>
      </c>
      <c r="I271" s="101">
        <v>450</v>
      </c>
      <c r="J271" s="101">
        <v>600</v>
      </c>
      <c r="K271" s="101">
        <v>100</v>
      </c>
      <c r="L271" s="101">
        <v>350</v>
      </c>
      <c r="M271" s="101">
        <v>300</v>
      </c>
      <c r="N271" s="88" t="s">
        <v>36</v>
      </c>
      <c r="O271" s="104">
        <f>VLOOKUP(E271,'[2]STOCK  19.09.2017'!$F$6:$I$233,4,0)</f>
        <v>600</v>
      </c>
    </row>
    <row r="272" spans="1:15" ht="18.75" customHeight="1">
      <c r="A272" s="85">
        <v>319</v>
      </c>
      <c r="B272" s="102" t="s">
        <v>33</v>
      </c>
      <c r="C272" s="86">
        <v>4006</v>
      </c>
      <c r="D272" s="87" t="s">
        <v>274</v>
      </c>
      <c r="E272" s="90">
        <v>50011837</v>
      </c>
      <c r="F272" s="105" t="s">
        <v>230</v>
      </c>
      <c r="G272" s="102"/>
      <c r="H272" s="101" t="s">
        <v>34</v>
      </c>
      <c r="I272" s="101" t="s">
        <v>34</v>
      </c>
      <c r="J272" s="101" t="s">
        <v>34</v>
      </c>
      <c r="K272" s="101" t="s">
        <v>34</v>
      </c>
      <c r="L272" s="101" t="s">
        <v>34</v>
      </c>
      <c r="M272" s="101" t="s">
        <v>34</v>
      </c>
      <c r="N272" s="88" t="s">
        <v>36</v>
      </c>
      <c r="O272" s="104">
        <f>VLOOKUP(E272,'[2]STOCK  19.09.2017'!$F$6:$I$233,4,0)</f>
        <v>179</v>
      </c>
    </row>
    <row r="273" spans="1:15" ht="18.75" customHeight="1">
      <c r="A273" s="85">
        <v>320</v>
      </c>
      <c r="B273" s="102" t="s">
        <v>33</v>
      </c>
      <c r="C273" s="86">
        <v>4006</v>
      </c>
      <c r="D273" s="87" t="s">
        <v>274</v>
      </c>
      <c r="E273" s="90">
        <v>50011838</v>
      </c>
      <c r="F273" s="105" t="s">
        <v>231</v>
      </c>
      <c r="G273" s="102"/>
      <c r="H273" s="101" t="s">
        <v>34</v>
      </c>
      <c r="I273" s="101" t="s">
        <v>34</v>
      </c>
      <c r="J273" s="101" t="s">
        <v>34</v>
      </c>
      <c r="K273" s="101" t="s">
        <v>34</v>
      </c>
      <c r="L273" s="101" t="s">
        <v>34</v>
      </c>
      <c r="M273" s="101" t="s">
        <v>34</v>
      </c>
      <c r="N273" s="88" t="s">
        <v>36</v>
      </c>
      <c r="O273" s="104">
        <f>VLOOKUP(E273,'[2]STOCK  19.09.2017'!$F$6:$I$233,4,0)</f>
        <v>190</v>
      </c>
    </row>
    <row r="274" spans="1:15" ht="18.75" customHeight="1">
      <c r="A274" s="85">
        <v>321</v>
      </c>
      <c r="B274" s="102" t="s">
        <v>33</v>
      </c>
      <c r="C274" s="86">
        <v>4006</v>
      </c>
      <c r="D274" s="87" t="s">
        <v>274</v>
      </c>
      <c r="E274" s="102">
        <v>50011839</v>
      </c>
      <c r="F274" s="103" t="s">
        <v>232</v>
      </c>
      <c r="G274" s="102"/>
      <c r="H274" s="101" t="s">
        <v>34</v>
      </c>
      <c r="I274" s="101" t="s">
        <v>34</v>
      </c>
      <c r="J274" s="101" t="s">
        <v>34</v>
      </c>
      <c r="K274" s="101" t="s">
        <v>34</v>
      </c>
      <c r="L274" s="101" t="s">
        <v>34</v>
      </c>
      <c r="M274" s="101" t="s">
        <v>34</v>
      </c>
      <c r="N274" s="88" t="s">
        <v>36</v>
      </c>
      <c r="O274" s="104" t="e">
        <f>VLOOKUP(E274,'[2]STOCK  19.09.2017'!$F$6:$I$233,4,0)</f>
        <v>#N/A</v>
      </c>
    </row>
    <row r="275" spans="1:15" ht="18.75" customHeight="1">
      <c r="A275" s="85">
        <v>322</v>
      </c>
      <c r="B275" s="102" t="s">
        <v>33</v>
      </c>
      <c r="C275" s="86">
        <v>4006</v>
      </c>
      <c r="D275" s="87" t="s">
        <v>274</v>
      </c>
      <c r="E275" s="102">
        <v>50011835</v>
      </c>
      <c r="F275" s="103" t="s">
        <v>233</v>
      </c>
      <c r="G275" s="102"/>
      <c r="H275" s="101">
        <v>1500</v>
      </c>
      <c r="I275" s="101">
        <v>1700</v>
      </c>
      <c r="J275" s="101">
        <v>600</v>
      </c>
      <c r="K275" s="101" t="s">
        <v>34</v>
      </c>
      <c r="L275" s="101" t="s">
        <v>34</v>
      </c>
      <c r="M275" s="101" t="s">
        <v>34</v>
      </c>
      <c r="N275" s="88" t="s">
        <v>36</v>
      </c>
      <c r="O275" s="104">
        <f>VLOOKUP(E275,'[2]STOCK  19.09.2017'!$F$6:$I$233,4,0)</f>
        <v>14</v>
      </c>
    </row>
    <row r="276" spans="1:15" ht="18.75" customHeight="1">
      <c r="A276" s="85">
        <v>323</v>
      </c>
      <c r="B276" s="102" t="s">
        <v>33</v>
      </c>
      <c r="C276" s="86">
        <v>4006</v>
      </c>
      <c r="D276" s="87" t="s">
        <v>274</v>
      </c>
      <c r="E276" s="102">
        <v>50011836</v>
      </c>
      <c r="F276" s="103" t="s">
        <v>234</v>
      </c>
      <c r="G276" s="102"/>
      <c r="H276" s="101">
        <v>700</v>
      </c>
      <c r="I276" s="101">
        <v>800</v>
      </c>
      <c r="J276" s="101">
        <v>400</v>
      </c>
      <c r="K276" s="101" t="s">
        <v>34</v>
      </c>
      <c r="L276" s="101" t="s">
        <v>34</v>
      </c>
      <c r="M276" s="101" t="s">
        <v>34</v>
      </c>
      <c r="N276" s="88" t="s">
        <v>36</v>
      </c>
      <c r="O276" s="104">
        <f>VLOOKUP(E276,'[2]STOCK  19.09.2017'!$F$6:$I$233,4,0)</f>
        <v>1000</v>
      </c>
    </row>
    <row r="277" spans="1:15" ht="18.75" customHeight="1">
      <c r="A277" s="85">
        <v>324</v>
      </c>
      <c r="B277" s="102" t="s">
        <v>33</v>
      </c>
      <c r="C277" s="86">
        <v>4006</v>
      </c>
      <c r="D277" s="87" t="s">
        <v>274</v>
      </c>
      <c r="E277" s="102">
        <v>50011834</v>
      </c>
      <c r="F277" s="103" t="s">
        <v>235</v>
      </c>
      <c r="G277" s="102"/>
      <c r="H277" s="101">
        <v>1400</v>
      </c>
      <c r="I277" s="101">
        <v>300</v>
      </c>
      <c r="J277" s="101">
        <v>300</v>
      </c>
      <c r="K277" s="101">
        <v>300</v>
      </c>
      <c r="L277" s="101" t="s">
        <v>34</v>
      </c>
      <c r="M277" s="101" t="s">
        <v>34</v>
      </c>
      <c r="N277" s="88" t="s">
        <v>36</v>
      </c>
      <c r="O277" s="104">
        <f>VLOOKUP(E277,'[2]STOCK  19.09.2017'!$F$6:$I$233,4,0)</f>
        <v>690</v>
      </c>
    </row>
    <row r="278" spans="1:15" ht="18.75" customHeight="1">
      <c r="A278" s="85">
        <v>325</v>
      </c>
      <c r="B278" s="102" t="s">
        <v>33</v>
      </c>
      <c r="C278" s="86">
        <v>4006</v>
      </c>
      <c r="D278" s="87" t="s">
        <v>274</v>
      </c>
      <c r="E278" s="102">
        <v>50013187</v>
      </c>
      <c r="F278" s="103" t="s">
        <v>236</v>
      </c>
      <c r="G278" s="102"/>
      <c r="H278" s="101">
        <v>2800</v>
      </c>
      <c r="I278" s="101">
        <v>600</v>
      </c>
      <c r="J278" s="101">
        <v>1000</v>
      </c>
      <c r="K278" s="101">
        <v>600</v>
      </c>
      <c r="L278" s="101" t="s">
        <v>34</v>
      </c>
      <c r="M278" s="101" t="s">
        <v>34</v>
      </c>
      <c r="N278" s="88" t="s">
        <v>36</v>
      </c>
      <c r="O278" s="104">
        <f>VLOOKUP(E278,'[2]STOCK  19.09.2017'!$F$6:$I$233,4,0)</f>
        <v>830</v>
      </c>
    </row>
    <row r="279" spans="1:15" ht="18.75" customHeight="1">
      <c r="A279" s="85">
        <v>326</v>
      </c>
      <c r="B279" s="102" t="s">
        <v>33</v>
      </c>
      <c r="C279" s="86">
        <v>4006</v>
      </c>
      <c r="D279" s="87" t="s">
        <v>274</v>
      </c>
      <c r="E279" s="102">
        <v>50008601</v>
      </c>
      <c r="F279" s="103" t="s">
        <v>237</v>
      </c>
      <c r="G279" s="102"/>
      <c r="H279" s="101" t="s">
        <v>34</v>
      </c>
      <c r="I279" s="101" t="s">
        <v>34</v>
      </c>
      <c r="J279" s="101" t="s">
        <v>34</v>
      </c>
      <c r="K279" s="101" t="s">
        <v>34</v>
      </c>
      <c r="L279" s="101" t="s">
        <v>34</v>
      </c>
      <c r="M279" s="101" t="s">
        <v>34</v>
      </c>
      <c r="N279" s="88" t="s">
        <v>36</v>
      </c>
      <c r="O279" s="104" t="e">
        <f>VLOOKUP(E279,'[2]STOCK  19.09.2017'!$F$6:$I$233,4,0)</f>
        <v>#N/A</v>
      </c>
    </row>
    <row r="280" spans="1:15" ht="18.75" customHeight="1">
      <c r="A280" s="85">
        <v>327</v>
      </c>
      <c r="B280" s="102" t="s">
        <v>33</v>
      </c>
      <c r="C280" s="86">
        <v>4006</v>
      </c>
      <c r="D280" s="87" t="s">
        <v>274</v>
      </c>
      <c r="E280" s="102">
        <v>50010762</v>
      </c>
      <c r="F280" s="103" t="s">
        <v>238</v>
      </c>
      <c r="G280" s="102"/>
      <c r="H280" s="101" t="s">
        <v>34</v>
      </c>
      <c r="I280" s="101" t="s">
        <v>34</v>
      </c>
      <c r="J280" s="101" t="s">
        <v>34</v>
      </c>
      <c r="K280" s="101" t="s">
        <v>34</v>
      </c>
      <c r="L280" s="101" t="s">
        <v>34</v>
      </c>
      <c r="M280" s="101" t="s">
        <v>34</v>
      </c>
      <c r="N280" s="88" t="s">
        <v>36</v>
      </c>
      <c r="O280" s="104" t="e">
        <f>VLOOKUP(E280,'[2]STOCK  19.09.2017'!$F$6:$I$233,4,0)</f>
        <v>#N/A</v>
      </c>
    </row>
    <row r="281" spans="1:15" ht="18.75" customHeight="1">
      <c r="A281" s="85">
        <v>328</v>
      </c>
      <c r="B281" s="102" t="s">
        <v>33</v>
      </c>
      <c r="C281" s="86">
        <v>4006</v>
      </c>
      <c r="D281" s="87" t="s">
        <v>274</v>
      </c>
      <c r="E281" s="102">
        <v>50021385</v>
      </c>
      <c r="F281" s="103" t="s">
        <v>310</v>
      </c>
      <c r="G281" s="102"/>
      <c r="H281" s="101">
        <v>300</v>
      </c>
      <c r="I281" s="101">
        <v>300</v>
      </c>
      <c r="J281" s="101" t="s">
        <v>34</v>
      </c>
      <c r="K281" s="101" t="s">
        <v>34</v>
      </c>
      <c r="L281" s="101" t="s">
        <v>34</v>
      </c>
      <c r="M281" s="101" t="s">
        <v>34</v>
      </c>
      <c r="N281" s="88" t="s">
        <v>36</v>
      </c>
      <c r="O281" s="104" t="e">
        <f>VLOOKUP(E281,'[2]STOCK  19.09.2017'!$F$6:$I$233,4,0)</f>
        <v>#N/A</v>
      </c>
    </row>
    <row r="282" spans="1:15" ht="18.75" customHeight="1">
      <c r="A282" s="85">
        <v>329</v>
      </c>
      <c r="B282" s="102" t="s">
        <v>33</v>
      </c>
      <c r="C282" s="86">
        <v>4006</v>
      </c>
      <c r="D282" s="87" t="s">
        <v>274</v>
      </c>
      <c r="E282" s="102">
        <v>50021936</v>
      </c>
      <c r="F282" s="103" t="s">
        <v>319</v>
      </c>
      <c r="G282" s="102"/>
      <c r="H282" s="101">
        <v>800</v>
      </c>
      <c r="I282" s="101">
        <v>800</v>
      </c>
      <c r="J282" s="101">
        <v>800</v>
      </c>
      <c r="K282" s="101">
        <v>800</v>
      </c>
      <c r="L282" s="101" t="s">
        <v>34</v>
      </c>
      <c r="M282" s="101" t="s">
        <v>34</v>
      </c>
      <c r="N282" s="88" t="s">
        <v>36</v>
      </c>
      <c r="O282" s="104">
        <f>VLOOKUP(E282,'[2]STOCK  19.09.2017'!$F$6:$I$233,4,0)</f>
        <v>202</v>
      </c>
    </row>
    <row r="283" spans="1:15" ht="18.75" customHeight="1">
      <c r="A283" s="85">
        <v>330</v>
      </c>
      <c r="B283" s="102" t="s">
        <v>33</v>
      </c>
      <c r="C283" s="86">
        <v>4006</v>
      </c>
      <c r="D283" s="87" t="s">
        <v>274</v>
      </c>
      <c r="E283" s="102">
        <v>50021630</v>
      </c>
      <c r="F283" s="103" t="s">
        <v>312</v>
      </c>
      <c r="G283" s="102"/>
      <c r="H283" s="101">
        <v>1500</v>
      </c>
      <c r="I283" s="101">
        <v>900</v>
      </c>
      <c r="J283" s="101">
        <v>600</v>
      </c>
      <c r="K283" s="101">
        <v>300</v>
      </c>
      <c r="L283" s="101" t="s">
        <v>34</v>
      </c>
      <c r="M283" s="101" t="s">
        <v>34</v>
      </c>
      <c r="N283" s="88" t="s">
        <v>36</v>
      </c>
      <c r="O283" s="104">
        <f>VLOOKUP(E283,'[2]STOCK  19.09.2017'!$F$6:$I$233,4,0)</f>
        <v>150</v>
      </c>
    </row>
    <row r="284" spans="1:15" ht="18.75" customHeight="1">
      <c r="A284" s="85">
        <v>331</v>
      </c>
      <c r="B284" s="102" t="s">
        <v>33</v>
      </c>
      <c r="C284" s="86">
        <v>4006</v>
      </c>
      <c r="D284" s="87" t="s">
        <v>274</v>
      </c>
      <c r="E284" s="102">
        <v>50021937</v>
      </c>
      <c r="F284" s="103" t="s">
        <v>320</v>
      </c>
      <c r="G284" s="102"/>
      <c r="H284" s="101">
        <v>200</v>
      </c>
      <c r="I284" s="101">
        <v>150</v>
      </c>
      <c r="J284" s="101">
        <v>100</v>
      </c>
      <c r="K284" s="101">
        <v>50</v>
      </c>
      <c r="L284" s="101" t="s">
        <v>34</v>
      </c>
      <c r="M284" s="101" t="s">
        <v>34</v>
      </c>
      <c r="N284" s="88" t="s">
        <v>36</v>
      </c>
      <c r="O284" s="104">
        <f>VLOOKUP(E284,'[2]STOCK  19.09.2017'!$F$6:$I$233,4,0)</f>
        <v>200</v>
      </c>
    </row>
    <row r="285" spans="1:15" ht="18.75" customHeight="1">
      <c r="A285" s="85">
        <v>332</v>
      </c>
      <c r="B285" s="102" t="s">
        <v>33</v>
      </c>
      <c r="C285" s="86">
        <v>4006</v>
      </c>
      <c r="D285" s="87" t="s">
        <v>274</v>
      </c>
      <c r="E285" s="102">
        <v>50021941</v>
      </c>
      <c r="F285" s="103" t="s">
        <v>318</v>
      </c>
      <c r="G285" s="102"/>
      <c r="H285" s="101">
        <v>2200</v>
      </c>
      <c r="I285" s="101">
        <v>1800</v>
      </c>
      <c r="J285" s="101">
        <v>2200</v>
      </c>
      <c r="K285" s="101">
        <v>1000</v>
      </c>
      <c r="L285" s="101" t="s">
        <v>34</v>
      </c>
      <c r="M285" s="101" t="s">
        <v>34</v>
      </c>
      <c r="N285" s="88" t="s">
        <v>36</v>
      </c>
      <c r="O285" s="104" t="e">
        <f>VLOOKUP(E285,'[2]STOCK  19.09.2017'!$F$6:$I$233,4,0)</f>
        <v>#N/A</v>
      </c>
    </row>
    <row r="286" spans="1:15" ht="18.75" customHeight="1">
      <c r="A286" s="85">
        <v>333</v>
      </c>
      <c r="B286" s="102" t="s">
        <v>33</v>
      </c>
      <c r="C286" s="86">
        <v>4006</v>
      </c>
      <c r="D286" s="87" t="s">
        <v>274</v>
      </c>
      <c r="E286" s="102">
        <v>50008528</v>
      </c>
      <c r="F286" s="103" t="s">
        <v>367</v>
      </c>
      <c r="G286" s="103" t="s">
        <v>296</v>
      </c>
      <c r="H286" s="101" t="s">
        <v>34</v>
      </c>
      <c r="I286" s="101" t="s">
        <v>34</v>
      </c>
      <c r="J286" s="101" t="s">
        <v>34</v>
      </c>
      <c r="K286" s="101" t="s">
        <v>34</v>
      </c>
      <c r="L286" s="101" t="s">
        <v>34</v>
      </c>
      <c r="M286" s="101" t="s">
        <v>34</v>
      </c>
      <c r="N286" s="88" t="s">
        <v>36</v>
      </c>
      <c r="O286" s="104" t="e">
        <f>VLOOKUP(E286,'[2]STOCK  19.09.2017'!$F$6:$I$233,4,0)</f>
        <v>#N/A</v>
      </c>
    </row>
    <row r="287" spans="1:15" ht="18.75" customHeight="1">
      <c r="A287" s="85">
        <v>334</v>
      </c>
      <c r="B287" s="102" t="s">
        <v>33</v>
      </c>
      <c r="C287" s="86">
        <v>4006</v>
      </c>
      <c r="D287" s="87" t="s">
        <v>274</v>
      </c>
      <c r="E287" s="102">
        <v>50001756</v>
      </c>
      <c r="F287" s="103" t="s">
        <v>368</v>
      </c>
      <c r="G287" s="103" t="s">
        <v>360</v>
      </c>
      <c r="H287" s="101">
        <v>200</v>
      </c>
      <c r="I287" s="101">
        <v>200</v>
      </c>
      <c r="J287" s="101">
        <v>100</v>
      </c>
      <c r="K287" s="101">
        <v>200</v>
      </c>
      <c r="L287" s="101" t="s">
        <v>34</v>
      </c>
      <c r="M287" s="101" t="s">
        <v>34</v>
      </c>
      <c r="N287" s="88" t="s">
        <v>36</v>
      </c>
      <c r="O287" s="104">
        <f>VLOOKUP(E287,'[2]STOCK  19.09.2017'!$F$6:$I$233,4,0)</f>
        <v>100</v>
      </c>
    </row>
    <row r="288" spans="1:15" ht="18.75" customHeight="1">
      <c r="A288" s="85">
        <v>335</v>
      </c>
      <c r="B288" s="102" t="s">
        <v>33</v>
      </c>
      <c r="C288" s="86">
        <v>4006</v>
      </c>
      <c r="D288" s="87" t="s">
        <v>274</v>
      </c>
      <c r="E288" s="102">
        <v>50001758</v>
      </c>
      <c r="F288" s="103" t="s">
        <v>369</v>
      </c>
      <c r="G288" s="103" t="s">
        <v>360</v>
      </c>
      <c r="H288" s="101">
        <v>200</v>
      </c>
      <c r="I288" s="101">
        <v>200</v>
      </c>
      <c r="J288" s="101">
        <v>100</v>
      </c>
      <c r="K288" s="101">
        <v>200</v>
      </c>
      <c r="L288" s="101" t="s">
        <v>34</v>
      </c>
      <c r="M288" s="101" t="s">
        <v>34</v>
      </c>
      <c r="N288" s="88" t="s">
        <v>36</v>
      </c>
      <c r="O288" s="104">
        <f>VLOOKUP(E288,'[2]STOCK  19.09.2017'!$F$6:$I$233,4,0)</f>
        <v>500</v>
      </c>
    </row>
    <row r="289" spans="1:15" ht="18.75" customHeight="1">
      <c r="A289" s="85">
        <v>336</v>
      </c>
      <c r="B289" s="102" t="s">
        <v>33</v>
      </c>
      <c r="C289" s="86">
        <v>4006</v>
      </c>
      <c r="D289" s="87" t="s">
        <v>274</v>
      </c>
      <c r="E289" s="102">
        <v>50001760</v>
      </c>
      <c r="F289" s="103" t="s">
        <v>370</v>
      </c>
      <c r="G289" s="103" t="s">
        <v>361</v>
      </c>
      <c r="H289" s="101" t="s">
        <v>34</v>
      </c>
      <c r="I289" s="101" t="s">
        <v>34</v>
      </c>
      <c r="J289" s="101" t="s">
        <v>34</v>
      </c>
      <c r="K289" s="101" t="s">
        <v>34</v>
      </c>
      <c r="L289" s="101" t="s">
        <v>34</v>
      </c>
      <c r="M289" s="101" t="s">
        <v>34</v>
      </c>
      <c r="N289" s="88" t="s">
        <v>36</v>
      </c>
      <c r="O289" s="104" t="e">
        <f>VLOOKUP(E289,'[2]STOCK  19.09.2017'!$F$6:$I$233,4,0)</f>
        <v>#N/A</v>
      </c>
    </row>
    <row r="290" spans="1:15" ht="18.75" customHeight="1">
      <c r="A290" s="85">
        <v>337</v>
      </c>
      <c r="B290" s="102" t="s">
        <v>33</v>
      </c>
      <c r="C290" s="86">
        <v>4006</v>
      </c>
      <c r="D290" s="87" t="s">
        <v>274</v>
      </c>
      <c r="E290" s="102">
        <v>50001762</v>
      </c>
      <c r="F290" s="103" t="s">
        <v>371</v>
      </c>
      <c r="G290" s="103" t="s">
        <v>362</v>
      </c>
      <c r="H290" s="101" t="s">
        <v>34</v>
      </c>
      <c r="I290" s="101" t="s">
        <v>34</v>
      </c>
      <c r="J290" s="101" t="s">
        <v>34</v>
      </c>
      <c r="K290" s="101" t="s">
        <v>34</v>
      </c>
      <c r="L290" s="101" t="s">
        <v>34</v>
      </c>
      <c r="M290" s="101" t="s">
        <v>34</v>
      </c>
      <c r="N290" s="88" t="s">
        <v>36</v>
      </c>
      <c r="O290" s="104" t="e">
        <f>VLOOKUP(E290,'[2]STOCK  19.09.2017'!$F$6:$I$233,4,0)</f>
        <v>#N/A</v>
      </c>
    </row>
    <row r="291" spans="1:15" ht="18.75" customHeight="1">
      <c r="A291" s="85">
        <v>338</v>
      </c>
      <c r="B291" s="102" t="s">
        <v>33</v>
      </c>
      <c r="C291" s="86">
        <v>4006</v>
      </c>
      <c r="D291" s="87" t="s">
        <v>274</v>
      </c>
      <c r="E291" s="102">
        <v>50001765</v>
      </c>
      <c r="F291" s="103" t="s">
        <v>372</v>
      </c>
      <c r="G291" s="103" t="s">
        <v>361</v>
      </c>
      <c r="H291" s="101" t="s">
        <v>34</v>
      </c>
      <c r="I291" s="101" t="s">
        <v>34</v>
      </c>
      <c r="J291" s="101" t="s">
        <v>34</v>
      </c>
      <c r="K291" s="101" t="s">
        <v>34</v>
      </c>
      <c r="L291" s="101" t="s">
        <v>34</v>
      </c>
      <c r="M291" s="101" t="s">
        <v>34</v>
      </c>
      <c r="N291" s="88" t="s">
        <v>36</v>
      </c>
      <c r="O291" s="104" t="e">
        <f>VLOOKUP(E291,'[2]STOCK  19.09.2017'!$F$6:$I$233,4,0)</f>
        <v>#N/A</v>
      </c>
    </row>
    <row r="292" spans="1:15" ht="18.75" customHeight="1">
      <c r="A292" s="85">
        <v>339</v>
      </c>
      <c r="B292" s="102" t="s">
        <v>33</v>
      </c>
      <c r="C292" s="86">
        <v>4006</v>
      </c>
      <c r="D292" s="87" t="s">
        <v>274</v>
      </c>
      <c r="E292" s="102">
        <v>50001821</v>
      </c>
      <c r="F292" s="103" t="s">
        <v>373</v>
      </c>
      <c r="G292" s="103" t="s">
        <v>363</v>
      </c>
      <c r="H292" s="101" t="s">
        <v>34</v>
      </c>
      <c r="I292" s="101" t="s">
        <v>34</v>
      </c>
      <c r="J292" s="101" t="s">
        <v>34</v>
      </c>
      <c r="K292" s="101" t="s">
        <v>34</v>
      </c>
      <c r="L292" s="101" t="s">
        <v>34</v>
      </c>
      <c r="M292" s="101" t="s">
        <v>34</v>
      </c>
      <c r="N292" s="88" t="s">
        <v>36</v>
      </c>
      <c r="O292" s="104" t="e">
        <f>VLOOKUP(E292,'[2]STOCK  19.09.2017'!$F$6:$I$233,4,0)</f>
        <v>#N/A</v>
      </c>
    </row>
    <row r="293" spans="1:15" ht="18.75" customHeight="1">
      <c r="A293" s="85">
        <v>340</v>
      </c>
      <c r="B293" s="102" t="s">
        <v>33</v>
      </c>
      <c r="C293" s="86">
        <v>4006</v>
      </c>
      <c r="D293" s="87" t="s">
        <v>274</v>
      </c>
      <c r="E293" s="102">
        <v>50001840</v>
      </c>
      <c r="F293" s="103" t="s">
        <v>374</v>
      </c>
      <c r="G293" s="103" t="s">
        <v>362</v>
      </c>
      <c r="H293" s="101" t="s">
        <v>34</v>
      </c>
      <c r="I293" s="101" t="s">
        <v>34</v>
      </c>
      <c r="J293" s="101" t="s">
        <v>34</v>
      </c>
      <c r="K293" s="101" t="s">
        <v>34</v>
      </c>
      <c r="L293" s="101" t="s">
        <v>34</v>
      </c>
      <c r="M293" s="101" t="s">
        <v>34</v>
      </c>
      <c r="N293" s="88" t="s">
        <v>36</v>
      </c>
      <c r="O293" s="104" t="e">
        <f>VLOOKUP(E293,'[2]STOCK  19.09.2017'!$F$6:$I$233,4,0)</f>
        <v>#N/A</v>
      </c>
    </row>
    <row r="294" spans="1:15" ht="18.75" customHeight="1">
      <c r="A294" s="85">
        <v>341</v>
      </c>
      <c r="B294" s="102" t="s">
        <v>33</v>
      </c>
      <c r="C294" s="86">
        <v>4006</v>
      </c>
      <c r="D294" s="87" t="s">
        <v>274</v>
      </c>
      <c r="E294" s="102">
        <v>50001841</v>
      </c>
      <c r="F294" s="103" t="s">
        <v>375</v>
      </c>
      <c r="G294" s="103" t="s">
        <v>364</v>
      </c>
      <c r="H294" s="101">
        <v>200</v>
      </c>
      <c r="I294" s="101">
        <v>400</v>
      </c>
      <c r="J294" s="101">
        <v>300</v>
      </c>
      <c r="K294" s="101">
        <v>200</v>
      </c>
      <c r="L294" s="101" t="s">
        <v>34</v>
      </c>
      <c r="M294" s="101" t="s">
        <v>34</v>
      </c>
      <c r="N294" s="88" t="s">
        <v>36</v>
      </c>
      <c r="O294" s="104">
        <f>VLOOKUP(E294,'[2]STOCK  19.09.2017'!$F$6:$I$233,4,0)</f>
        <v>300</v>
      </c>
    </row>
    <row r="295" spans="1:15" ht="18.75" customHeight="1">
      <c r="A295" s="85">
        <v>342</v>
      </c>
      <c r="B295" s="102" t="s">
        <v>33</v>
      </c>
      <c r="C295" s="86">
        <v>4006</v>
      </c>
      <c r="D295" s="87" t="s">
        <v>274</v>
      </c>
      <c r="E295" s="102">
        <v>50001862</v>
      </c>
      <c r="F295" s="103" t="s">
        <v>376</v>
      </c>
      <c r="G295" s="103" t="s">
        <v>363</v>
      </c>
      <c r="H295" s="101" t="s">
        <v>34</v>
      </c>
      <c r="I295" s="101" t="s">
        <v>34</v>
      </c>
      <c r="J295" s="101" t="s">
        <v>34</v>
      </c>
      <c r="K295" s="101" t="s">
        <v>34</v>
      </c>
      <c r="L295" s="101" t="s">
        <v>34</v>
      </c>
      <c r="M295" s="101" t="s">
        <v>34</v>
      </c>
      <c r="N295" s="88" t="s">
        <v>36</v>
      </c>
      <c r="O295" s="104" t="e">
        <f>VLOOKUP(E295,'[2]STOCK  19.09.2017'!$F$6:$I$233,4,0)</f>
        <v>#N/A</v>
      </c>
    </row>
    <row r="296" spans="1:15" ht="18.75" customHeight="1">
      <c r="A296" s="85">
        <v>343</v>
      </c>
      <c r="B296" s="102" t="s">
        <v>33</v>
      </c>
      <c r="C296" s="86">
        <v>4006</v>
      </c>
      <c r="D296" s="87" t="s">
        <v>274</v>
      </c>
      <c r="E296" s="102">
        <v>50001889</v>
      </c>
      <c r="F296" s="103" t="s">
        <v>377</v>
      </c>
      <c r="G296" s="103" t="s">
        <v>365</v>
      </c>
      <c r="H296" s="101" t="s">
        <v>34</v>
      </c>
      <c r="I296" s="101" t="s">
        <v>34</v>
      </c>
      <c r="J296" s="101" t="s">
        <v>34</v>
      </c>
      <c r="K296" s="101" t="s">
        <v>34</v>
      </c>
      <c r="L296" s="101" t="s">
        <v>34</v>
      </c>
      <c r="M296" s="101" t="s">
        <v>34</v>
      </c>
      <c r="N296" s="88" t="s">
        <v>36</v>
      </c>
      <c r="O296" s="104" t="e">
        <f>VLOOKUP(E296,'[2]STOCK  19.09.2017'!$F$6:$I$233,4,0)</f>
        <v>#N/A</v>
      </c>
    </row>
    <row r="297" spans="1:15" ht="18.75" customHeight="1">
      <c r="A297" s="85">
        <v>344</v>
      </c>
      <c r="B297" s="102" t="s">
        <v>33</v>
      </c>
      <c r="C297" s="86">
        <v>4006</v>
      </c>
      <c r="D297" s="87" t="s">
        <v>274</v>
      </c>
      <c r="E297" s="102">
        <v>50001858</v>
      </c>
      <c r="F297" s="103" t="s">
        <v>378</v>
      </c>
      <c r="G297" s="103" t="s">
        <v>366</v>
      </c>
      <c r="H297" s="101">
        <v>2000</v>
      </c>
      <c r="I297" s="101">
        <v>3000</v>
      </c>
      <c r="J297" s="101">
        <v>2400</v>
      </c>
      <c r="K297" s="101">
        <v>2200</v>
      </c>
      <c r="L297" s="101" t="s">
        <v>34</v>
      </c>
      <c r="M297" s="101" t="s">
        <v>34</v>
      </c>
      <c r="N297" s="88" t="s">
        <v>36</v>
      </c>
      <c r="O297" s="104">
        <f>VLOOKUP(E297,'[2]STOCK  19.09.2017'!$F$6:$I$233,4,0)</f>
        <v>600</v>
      </c>
    </row>
    <row r="298" spans="1:15" ht="18.75" customHeight="1">
      <c r="A298" s="85">
        <v>345</v>
      </c>
      <c r="B298" s="102" t="s">
        <v>33</v>
      </c>
      <c r="C298" s="86">
        <v>4006</v>
      </c>
      <c r="D298" s="87" t="s">
        <v>274</v>
      </c>
      <c r="E298" s="102">
        <v>50001871</v>
      </c>
      <c r="F298" s="103" t="s">
        <v>379</v>
      </c>
      <c r="G298" s="103" t="s">
        <v>366</v>
      </c>
      <c r="H298" s="101">
        <v>2000</v>
      </c>
      <c r="I298" s="101">
        <v>3200</v>
      </c>
      <c r="J298" s="101">
        <v>2600</v>
      </c>
      <c r="K298" s="101">
        <v>2300</v>
      </c>
      <c r="L298" s="101" t="s">
        <v>34</v>
      </c>
      <c r="M298" s="101" t="s">
        <v>34</v>
      </c>
      <c r="N298" s="88" t="s">
        <v>36</v>
      </c>
      <c r="O298" s="104">
        <f>VLOOKUP(E298,'[2]STOCK  19.09.2017'!$F$6:$I$233,4,0)</f>
        <v>600</v>
      </c>
    </row>
    <row r="299" spans="1:15" ht="18.75" customHeight="1">
      <c r="A299" s="85">
        <v>407</v>
      </c>
      <c r="B299" s="102" t="s">
        <v>33</v>
      </c>
      <c r="C299" s="86">
        <v>100681</v>
      </c>
      <c r="D299" s="87" t="s">
        <v>275</v>
      </c>
      <c r="E299" s="102">
        <v>50008264</v>
      </c>
      <c r="F299" s="103" t="s">
        <v>239</v>
      </c>
      <c r="G299" s="102"/>
      <c r="H299" s="101">
        <v>200</v>
      </c>
      <c r="I299" s="101">
        <v>200</v>
      </c>
      <c r="J299" s="101">
        <v>200</v>
      </c>
      <c r="K299" s="101">
        <v>300</v>
      </c>
      <c r="L299" s="101" t="s">
        <v>34</v>
      </c>
      <c r="M299" s="101" t="s">
        <v>34</v>
      </c>
      <c r="N299" s="88" t="s">
        <v>36</v>
      </c>
      <c r="O299" s="104" t="e">
        <f>VLOOKUP(E299,'[2]STOCK  19.09.2017'!$F$6:$I$233,4,0)</f>
        <v>#N/A</v>
      </c>
    </row>
    <row r="300" spans="1:15" ht="18.75" customHeight="1">
      <c r="A300" s="85">
        <v>408</v>
      </c>
      <c r="B300" s="102" t="s">
        <v>33</v>
      </c>
      <c r="C300" s="86">
        <v>100681</v>
      </c>
      <c r="D300" s="87" t="s">
        <v>275</v>
      </c>
      <c r="E300" s="102">
        <v>50010156</v>
      </c>
      <c r="F300" s="103" t="s">
        <v>240</v>
      </c>
      <c r="G300" s="102"/>
      <c r="H300" s="101" t="s">
        <v>34</v>
      </c>
      <c r="I300" s="101" t="s">
        <v>34</v>
      </c>
      <c r="J300" s="101" t="s">
        <v>34</v>
      </c>
      <c r="K300" s="101" t="s">
        <v>34</v>
      </c>
      <c r="L300" s="101" t="s">
        <v>34</v>
      </c>
      <c r="M300" s="101" t="s">
        <v>34</v>
      </c>
      <c r="N300" s="88" t="s">
        <v>36</v>
      </c>
      <c r="O300" s="104" t="e">
        <f>VLOOKUP(E300,'[2]STOCK  19.09.2017'!$F$6:$I$233,4,0)</f>
        <v>#N/A</v>
      </c>
    </row>
    <row r="301" spans="1:15" ht="18.75" customHeight="1">
      <c r="A301" s="85">
        <v>409</v>
      </c>
      <c r="B301" s="102" t="s">
        <v>33</v>
      </c>
      <c r="C301" s="86">
        <v>100681</v>
      </c>
      <c r="D301" s="87" t="s">
        <v>275</v>
      </c>
      <c r="E301" s="90">
        <v>50010979</v>
      </c>
      <c r="F301" s="105" t="s">
        <v>241</v>
      </c>
      <c r="G301" s="102"/>
      <c r="H301" s="101">
        <v>400</v>
      </c>
      <c r="I301" s="101">
        <v>200</v>
      </c>
      <c r="J301" s="101" t="s">
        <v>34</v>
      </c>
      <c r="K301" s="101" t="s">
        <v>34</v>
      </c>
      <c r="L301" s="101" t="s">
        <v>34</v>
      </c>
      <c r="M301" s="101" t="s">
        <v>34</v>
      </c>
      <c r="N301" s="88" t="s">
        <v>36</v>
      </c>
      <c r="O301" s="104">
        <f>VLOOKUP(E301,'[2]STOCK  19.09.2017'!$F$6:$I$233,4,0)</f>
        <v>400</v>
      </c>
    </row>
    <row r="302" spans="1:15" ht="18.75" customHeight="1">
      <c r="A302" s="85">
        <v>410</v>
      </c>
      <c r="B302" s="102" t="s">
        <v>33</v>
      </c>
      <c r="C302" s="86">
        <v>100681</v>
      </c>
      <c r="D302" s="87" t="s">
        <v>275</v>
      </c>
      <c r="E302" s="90">
        <v>50013256</v>
      </c>
      <c r="F302" s="105" t="s">
        <v>242</v>
      </c>
      <c r="G302" s="102"/>
      <c r="H302" s="101">
        <v>1500</v>
      </c>
      <c r="I302" s="101">
        <v>900</v>
      </c>
      <c r="J302" s="101" t="s">
        <v>34</v>
      </c>
      <c r="K302" s="101" t="s">
        <v>34</v>
      </c>
      <c r="L302" s="101" t="s">
        <v>34</v>
      </c>
      <c r="M302" s="101" t="s">
        <v>34</v>
      </c>
      <c r="N302" s="88" t="s">
        <v>36</v>
      </c>
      <c r="O302" s="104">
        <f>VLOOKUP(E302,'[2]STOCK  19.09.2017'!$F$6:$I$233,4,0)</f>
        <v>1500</v>
      </c>
    </row>
    <row r="303" spans="1:15" ht="18.75" customHeight="1">
      <c r="A303" s="85">
        <v>448</v>
      </c>
      <c r="B303" s="102" t="s">
        <v>33</v>
      </c>
      <c r="C303" s="86" t="s">
        <v>384</v>
      </c>
      <c r="D303" s="87"/>
      <c r="E303" s="90">
        <v>50020598</v>
      </c>
      <c r="F303" s="105" t="s">
        <v>383</v>
      </c>
      <c r="G303" s="102"/>
      <c r="H303" s="101">
        <v>50</v>
      </c>
      <c r="I303" s="101">
        <v>50</v>
      </c>
      <c r="J303" s="101">
        <v>50</v>
      </c>
      <c r="K303" s="101" t="s">
        <v>34</v>
      </c>
      <c r="L303" s="101" t="s">
        <v>34</v>
      </c>
      <c r="M303" s="101" t="s">
        <v>34</v>
      </c>
      <c r="N303" s="88" t="s">
        <v>36</v>
      </c>
      <c r="O303" s="104" t="e">
        <f>VLOOKUP(E303,'[2]STOCK  19.09.2017'!$F$6:$I$233,4,0)</f>
        <v>#N/A</v>
      </c>
    </row>
    <row r="304" spans="1:15" ht="18.75" customHeight="1">
      <c r="A304" s="85">
        <v>449</v>
      </c>
      <c r="B304" s="102" t="s">
        <v>33</v>
      </c>
      <c r="C304" s="86" t="s">
        <v>384</v>
      </c>
      <c r="D304" s="87"/>
      <c r="E304" s="102">
        <v>50002571</v>
      </c>
      <c r="F304" s="103" t="s">
        <v>380</v>
      </c>
      <c r="G304" s="102" t="s">
        <v>363</v>
      </c>
      <c r="H304" s="101" t="s">
        <v>34</v>
      </c>
      <c r="I304" s="101" t="s">
        <v>34</v>
      </c>
      <c r="J304" s="101" t="s">
        <v>34</v>
      </c>
      <c r="K304" s="101" t="s">
        <v>34</v>
      </c>
      <c r="L304" s="101" t="s">
        <v>34</v>
      </c>
      <c r="M304" s="101" t="s">
        <v>34</v>
      </c>
      <c r="N304" s="88" t="s">
        <v>36</v>
      </c>
      <c r="O304" s="104" t="e">
        <f>VLOOKUP(E304,'[2]STOCK  19.09.2017'!$F$6:$I$233,4,0)</f>
        <v>#N/A</v>
      </c>
    </row>
    <row r="305" spans="1:15" ht="18.75" customHeight="1">
      <c r="A305" s="85">
        <v>450</v>
      </c>
      <c r="B305" s="102" t="s">
        <v>33</v>
      </c>
      <c r="C305" s="86" t="s">
        <v>384</v>
      </c>
      <c r="D305" s="87"/>
      <c r="E305" s="102">
        <v>50002553</v>
      </c>
      <c r="F305" s="103" t="s">
        <v>381</v>
      </c>
      <c r="G305" s="102" t="s">
        <v>363</v>
      </c>
      <c r="H305" s="101" t="s">
        <v>34</v>
      </c>
      <c r="I305" s="101" t="s">
        <v>34</v>
      </c>
      <c r="J305" s="101" t="s">
        <v>34</v>
      </c>
      <c r="K305" s="101" t="s">
        <v>34</v>
      </c>
      <c r="L305" s="101" t="s">
        <v>34</v>
      </c>
      <c r="M305" s="101" t="s">
        <v>34</v>
      </c>
      <c r="N305" s="88" t="s">
        <v>36</v>
      </c>
      <c r="O305" s="104" t="e">
        <f>VLOOKUP(E305,'[2]STOCK  19.09.2017'!$F$6:$I$233,4,0)</f>
        <v>#N/A</v>
      </c>
    </row>
    <row r="306" spans="1:15" ht="18.75" customHeight="1">
      <c r="A306" s="85">
        <v>451</v>
      </c>
      <c r="B306" s="102" t="s">
        <v>33</v>
      </c>
      <c r="C306" s="86" t="s">
        <v>384</v>
      </c>
      <c r="D306" s="87"/>
      <c r="E306" s="102">
        <v>50002588</v>
      </c>
      <c r="F306" s="103" t="s">
        <v>382</v>
      </c>
      <c r="G306" s="102" t="s">
        <v>363</v>
      </c>
      <c r="H306" s="101" t="s">
        <v>34</v>
      </c>
      <c r="I306" s="101" t="s">
        <v>34</v>
      </c>
      <c r="J306" s="101" t="s">
        <v>34</v>
      </c>
      <c r="K306" s="101" t="s">
        <v>34</v>
      </c>
      <c r="L306" s="101" t="s">
        <v>34</v>
      </c>
      <c r="M306" s="101" t="s">
        <v>34</v>
      </c>
      <c r="N306" s="88" t="s">
        <v>36</v>
      </c>
      <c r="O306" s="104" t="e">
        <f>VLOOKUP(E306,'[2]STOCK  19.09.2017'!$F$6:$I$233,4,0)</f>
        <v>#N/A</v>
      </c>
    </row>
    <row r="307" spans="1:15" ht="18.75" customHeight="1">
      <c r="A307" s="85">
        <v>480</v>
      </c>
      <c r="B307" s="102" t="s">
        <v>33</v>
      </c>
      <c r="C307" s="86">
        <v>100991</v>
      </c>
      <c r="D307" s="87" t="s">
        <v>276</v>
      </c>
      <c r="E307" s="102">
        <v>50000635</v>
      </c>
      <c r="F307" s="103" t="s">
        <v>243</v>
      </c>
      <c r="G307" s="102"/>
      <c r="H307" s="101" t="s">
        <v>34</v>
      </c>
      <c r="I307" s="101" t="s">
        <v>34</v>
      </c>
      <c r="J307" s="101" t="s">
        <v>34</v>
      </c>
      <c r="K307" s="101" t="s">
        <v>34</v>
      </c>
      <c r="L307" s="101" t="s">
        <v>34</v>
      </c>
      <c r="M307" s="101" t="s">
        <v>34</v>
      </c>
      <c r="N307" s="88" t="s">
        <v>36</v>
      </c>
      <c r="O307" s="104" t="e">
        <f>VLOOKUP(E307,'[2]STOCK  19.09.2017'!$F$6:$I$233,4,0)</f>
        <v>#N/A</v>
      </c>
    </row>
    <row r="308" spans="1:15" ht="18.75" customHeight="1">
      <c r="A308" s="85">
        <v>481</v>
      </c>
      <c r="B308" s="102" t="s">
        <v>33</v>
      </c>
      <c r="C308" s="86">
        <v>100991</v>
      </c>
      <c r="D308" s="87" t="s">
        <v>276</v>
      </c>
      <c r="E308" s="102">
        <v>50000637</v>
      </c>
      <c r="F308" s="103" t="s">
        <v>244</v>
      </c>
      <c r="G308" s="102"/>
      <c r="H308" s="101" t="s">
        <v>34</v>
      </c>
      <c r="I308" s="101" t="s">
        <v>34</v>
      </c>
      <c r="J308" s="101" t="s">
        <v>34</v>
      </c>
      <c r="K308" s="101" t="s">
        <v>34</v>
      </c>
      <c r="L308" s="101" t="s">
        <v>34</v>
      </c>
      <c r="M308" s="101" t="s">
        <v>34</v>
      </c>
      <c r="N308" s="88" t="s">
        <v>36</v>
      </c>
      <c r="O308" s="104">
        <f>VLOOKUP(E308,'[2]STOCK  19.09.2017'!$F$6:$I$233,4,0)</f>
        <v>150</v>
      </c>
    </row>
    <row r="309" spans="1:15" ht="18.75" customHeight="1">
      <c r="A309" s="85">
        <v>482</v>
      </c>
      <c r="B309" s="102" t="s">
        <v>33</v>
      </c>
      <c r="C309" s="86">
        <v>100991</v>
      </c>
      <c r="D309" s="87" t="s">
        <v>276</v>
      </c>
      <c r="E309" s="102">
        <v>50000638</v>
      </c>
      <c r="F309" s="103" t="s">
        <v>245</v>
      </c>
      <c r="G309" s="102"/>
      <c r="H309" s="101" t="s">
        <v>34</v>
      </c>
      <c r="I309" s="101" t="s">
        <v>34</v>
      </c>
      <c r="J309" s="101" t="s">
        <v>34</v>
      </c>
      <c r="K309" s="101" t="s">
        <v>34</v>
      </c>
      <c r="L309" s="101" t="s">
        <v>34</v>
      </c>
      <c r="M309" s="101" t="s">
        <v>34</v>
      </c>
      <c r="N309" s="88" t="s">
        <v>36</v>
      </c>
      <c r="O309" s="104">
        <f>VLOOKUP(E309,'[2]STOCK  19.09.2017'!$F$6:$I$233,4,0)</f>
        <v>690</v>
      </c>
    </row>
    <row r="310" spans="1:15" ht="18.75" customHeight="1">
      <c r="A310" s="85">
        <v>483</v>
      </c>
      <c r="B310" s="102" t="s">
        <v>33</v>
      </c>
      <c r="C310" s="86">
        <v>100991</v>
      </c>
      <c r="D310" s="87" t="s">
        <v>276</v>
      </c>
      <c r="E310" s="102">
        <v>50000639</v>
      </c>
      <c r="F310" s="103" t="s">
        <v>246</v>
      </c>
      <c r="G310" s="102"/>
      <c r="H310" s="101" t="s">
        <v>34</v>
      </c>
      <c r="I310" s="101" t="s">
        <v>34</v>
      </c>
      <c r="J310" s="101" t="s">
        <v>34</v>
      </c>
      <c r="K310" s="101" t="s">
        <v>34</v>
      </c>
      <c r="L310" s="101" t="s">
        <v>34</v>
      </c>
      <c r="M310" s="101" t="s">
        <v>34</v>
      </c>
      <c r="N310" s="88" t="s">
        <v>36</v>
      </c>
      <c r="O310" s="104">
        <f>VLOOKUP(E310,'[2]STOCK  19.09.2017'!$F$6:$I$233,4,0)</f>
        <v>400</v>
      </c>
    </row>
    <row r="311" spans="1:15" ht="18.75" customHeight="1">
      <c r="A311" s="85">
        <v>484</v>
      </c>
      <c r="B311" s="102" t="s">
        <v>33</v>
      </c>
      <c r="C311" s="86">
        <v>100991</v>
      </c>
      <c r="D311" s="87" t="s">
        <v>276</v>
      </c>
      <c r="E311" s="102">
        <v>50000644</v>
      </c>
      <c r="F311" s="103" t="s">
        <v>247</v>
      </c>
      <c r="G311" s="102"/>
      <c r="H311" s="101" t="s">
        <v>34</v>
      </c>
      <c r="I311" s="101" t="s">
        <v>34</v>
      </c>
      <c r="J311" s="101" t="s">
        <v>34</v>
      </c>
      <c r="K311" s="101" t="s">
        <v>34</v>
      </c>
      <c r="L311" s="101" t="s">
        <v>34</v>
      </c>
      <c r="M311" s="101" t="s">
        <v>34</v>
      </c>
      <c r="N311" s="88" t="s">
        <v>36</v>
      </c>
      <c r="O311" s="104" t="e">
        <f>VLOOKUP(E311,'[2]STOCK  19.09.2017'!$F$6:$I$233,4,0)</f>
        <v>#N/A</v>
      </c>
    </row>
    <row r="312" spans="1:15" ht="18.75" customHeight="1">
      <c r="A312" s="85">
        <v>485</v>
      </c>
      <c r="B312" s="102" t="s">
        <v>33</v>
      </c>
      <c r="C312" s="86">
        <v>100991</v>
      </c>
      <c r="D312" s="87" t="s">
        <v>276</v>
      </c>
      <c r="E312" s="102">
        <v>50002924</v>
      </c>
      <c r="F312" s="103" t="s">
        <v>248</v>
      </c>
      <c r="G312" s="102"/>
      <c r="H312" s="101" t="s">
        <v>34</v>
      </c>
      <c r="I312" s="101" t="s">
        <v>34</v>
      </c>
      <c r="J312" s="101" t="s">
        <v>34</v>
      </c>
      <c r="K312" s="101" t="s">
        <v>34</v>
      </c>
      <c r="L312" s="101" t="s">
        <v>34</v>
      </c>
      <c r="M312" s="101" t="s">
        <v>34</v>
      </c>
      <c r="N312" s="88" t="s">
        <v>36</v>
      </c>
      <c r="O312" s="104">
        <f>VLOOKUP(E312,'[2]STOCK  19.09.2017'!$F$6:$I$233,4,0)</f>
        <v>150</v>
      </c>
    </row>
    <row r="313" spans="1:15" ht="18.75" customHeight="1">
      <c r="A313" s="85">
        <v>486</v>
      </c>
      <c r="B313" s="102" t="s">
        <v>33</v>
      </c>
      <c r="C313" s="86">
        <v>100991</v>
      </c>
      <c r="D313" s="87" t="s">
        <v>276</v>
      </c>
      <c r="E313" s="102">
        <v>50001241</v>
      </c>
      <c r="F313" s="103" t="s">
        <v>249</v>
      </c>
      <c r="G313" s="102"/>
      <c r="H313" s="101" t="s">
        <v>34</v>
      </c>
      <c r="I313" s="101" t="s">
        <v>34</v>
      </c>
      <c r="J313" s="101" t="s">
        <v>34</v>
      </c>
      <c r="K313" s="101" t="s">
        <v>34</v>
      </c>
      <c r="L313" s="101" t="s">
        <v>34</v>
      </c>
      <c r="M313" s="101" t="s">
        <v>34</v>
      </c>
      <c r="N313" s="88" t="s">
        <v>36</v>
      </c>
      <c r="O313" s="104">
        <f>VLOOKUP(E313,'[2]STOCK  19.09.2017'!$F$6:$I$233,4,0)</f>
        <v>39</v>
      </c>
    </row>
    <row r="314" spans="1:15" ht="18.75" customHeight="1">
      <c r="A314" s="85">
        <v>487</v>
      </c>
      <c r="B314" s="102" t="s">
        <v>33</v>
      </c>
      <c r="C314" s="86">
        <v>100991</v>
      </c>
      <c r="D314" s="87" t="s">
        <v>276</v>
      </c>
      <c r="E314" s="102">
        <v>50001245</v>
      </c>
      <c r="F314" s="103" t="s">
        <v>250</v>
      </c>
      <c r="G314" s="102"/>
      <c r="H314" s="101" t="s">
        <v>34</v>
      </c>
      <c r="I314" s="101" t="s">
        <v>34</v>
      </c>
      <c r="J314" s="101" t="s">
        <v>34</v>
      </c>
      <c r="K314" s="101" t="s">
        <v>34</v>
      </c>
      <c r="L314" s="101" t="s">
        <v>34</v>
      </c>
      <c r="M314" s="101" t="s">
        <v>34</v>
      </c>
      <c r="N314" s="88" t="s">
        <v>36</v>
      </c>
      <c r="O314" s="104">
        <f>VLOOKUP(E314,'[2]STOCK  19.09.2017'!$F$6:$I$233,4,0)</f>
        <v>45</v>
      </c>
    </row>
    <row r="315" spans="1:15" ht="18.75" customHeight="1">
      <c r="A315" s="85">
        <v>488</v>
      </c>
      <c r="B315" s="102" t="s">
        <v>33</v>
      </c>
      <c r="C315" s="86">
        <v>100991</v>
      </c>
      <c r="D315" s="87" t="s">
        <v>276</v>
      </c>
      <c r="E315" s="102">
        <v>50001246</v>
      </c>
      <c r="F315" s="103" t="s">
        <v>251</v>
      </c>
      <c r="G315" s="102"/>
      <c r="H315" s="101" t="s">
        <v>34</v>
      </c>
      <c r="I315" s="101" t="s">
        <v>34</v>
      </c>
      <c r="J315" s="101" t="s">
        <v>34</v>
      </c>
      <c r="K315" s="101" t="s">
        <v>34</v>
      </c>
      <c r="L315" s="101" t="s">
        <v>34</v>
      </c>
      <c r="M315" s="101" t="s">
        <v>34</v>
      </c>
      <c r="N315" s="88" t="s">
        <v>36</v>
      </c>
      <c r="O315" s="104">
        <f>VLOOKUP(E315,'[2]STOCK  19.09.2017'!$F$6:$I$233,4,0)</f>
        <v>25</v>
      </c>
    </row>
    <row r="316" spans="1:15" ht="18.75" customHeight="1">
      <c r="A316" s="85">
        <v>494</v>
      </c>
      <c r="B316" s="102" t="s">
        <v>33</v>
      </c>
      <c r="C316" s="86">
        <v>100991</v>
      </c>
      <c r="D316" s="87" t="s">
        <v>276</v>
      </c>
      <c r="E316" s="102">
        <v>50003250</v>
      </c>
      <c r="F316" s="103" t="s">
        <v>252</v>
      </c>
      <c r="G316" s="102"/>
      <c r="H316" s="101" t="s">
        <v>34</v>
      </c>
      <c r="I316" s="101" t="s">
        <v>34</v>
      </c>
      <c r="J316" s="101" t="s">
        <v>34</v>
      </c>
      <c r="K316" s="101" t="s">
        <v>34</v>
      </c>
      <c r="L316" s="101" t="s">
        <v>34</v>
      </c>
      <c r="M316" s="101" t="s">
        <v>34</v>
      </c>
      <c r="N316" s="88" t="s">
        <v>36</v>
      </c>
      <c r="O316" s="104">
        <f>VLOOKUP(E316,'[2]STOCK  19.09.2017'!$F$6:$I$233,4,0)</f>
        <v>72</v>
      </c>
    </row>
    <row r="317" spans="1:15" ht="18.75" customHeight="1">
      <c r="A317" s="85">
        <v>495</v>
      </c>
      <c r="B317" s="102" t="s">
        <v>33</v>
      </c>
      <c r="C317" s="86">
        <v>100991</v>
      </c>
      <c r="D317" s="87" t="s">
        <v>276</v>
      </c>
      <c r="E317" s="102">
        <v>50003253</v>
      </c>
      <c r="F317" s="103" t="s">
        <v>253</v>
      </c>
      <c r="G317" s="102"/>
      <c r="H317" s="101" t="s">
        <v>34</v>
      </c>
      <c r="I317" s="101" t="s">
        <v>34</v>
      </c>
      <c r="J317" s="101" t="s">
        <v>34</v>
      </c>
      <c r="K317" s="101" t="s">
        <v>34</v>
      </c>
      <c r="L317" s="101" t="s">
        <v>34</v>
      </c>
      <c r="M317" s="101" t="s">
        <v>34</v>
      </c>
      <c r="N317" s="88" t="s">
        <v>36</v>
      </c>
      <c r="O317" s="104" t="e">
        <f>VLOOKUP(E317,'[2]STOCK  19.09.2017'!$F$6:$I$233,4,0)</f>
        <v>#N/A</v>
      </c>
    </row>
    <row r="318" spans="1:15" ht="18.75" customHeight="1">
      <c r="A318" s="85">
        <v>513</v>
      </c>
      <c r="B318" s="102" t="s">
        <v>33</v>
      </c>
      <c r="C318" s="86">
        <v>100991</v>
      </c>
      <c r="D318" s="87" t="s">
        <v>276</v>
      </c>
      <c r="E318" s="102">
        <v>50003546</v>
      </c>
      <c r="F318" s="103" t="s">
        <v>254</v>
      </c>
      <c r="G318" s="102"/>
      <c r="H318" s="101" t="s">
        <v>34</v>
      </c>
      <c r="I318" s="101" t="s">
        <v>34</v>
      </c>
      <c r="J318" s="101" t="s">
        <v>34</v>
      </c>
      <c r="K318" s="101" t="s">
        <v>34</v>
      </c>
      <c r="L318" s="101" t="s">
        <v>34</v>
      </c>
      <c r="M318" s="101" t="s">
        <v>34</v>
      </c>
      <c r="N318" s="88" t="s">
        <v>36</v>
      </c>
      <c r="O318" s="104">
        <f>VLOOKUP(E318,'[2]STOCK  19.09.2017'!$F$6:$I$233,4,0)</f>
        <v>14</v>
      </c>
    </row>
    <row r="319" spans="1:15" ht="18.75" customHeight="1">
      <c r="A319" s="85">
        <v>514</v>
      </c>
      <c r="B319" s="102" t="s">
        <v>33</v>
      </c>
      <c r="C319" s="86">
        <v>100991</v>
      </c>
      <c r="D319" s="87" t="s">
        <v>276</v>
      </c>
      <c r="E319" s="102">
        <v>50003547</v>
      </c>
      <c r="F319" s="103" t="s">
        <v>255</v>
      </c>
      <c r="G319" s="102"/>
      <c r="H319" s="101" t="s">
        <v>34</v>
      </c>
      <c r="I319" s="101" t="s">
        <v>34</v>
      </c>
      <c r="J319" s="101" t="s">
        <v>34</v>
      </c>
      <c r="K319" s="101" t="s">
        <v>34</v>
      </c>
      <c r="L319" s="101" t="s">
        <v>34</v>
      </c>
      <c r="M319" s="101" t="s">
        <v>34</v>
      </c>
      <c r="N319" s="88" t="s">
        <v>36</v>
      </c>
      <c r="O319" s="104" t="e">
        <f>VLOOKUP(E319,'[2]STOCK  19.09.2017'!$F$6:$I$233,4,0)</f>
        <v>#N/A</v>
      </c>
    </row>
    <row r="320" spans="1:15" ht="18.75" customHeight="1">
      <c r="A320" s="85">
        <v>515</v>
      </c>
      <c r="B320" s="102" t="s">
        <v>33</v>
      </c>
      <c r="C320" s="86">
        <v>100991</v>
      </c>
      <c r="D320" s="87" t="s">
        <v>276</v>
      </c>
      <c r="E320" s="102">
        <v>50003608</v>
      </c>
      <c r="F320" s="103" t="s">
        <v>256</v>
      </c>
      <c r="G320" s="102"/>
      <c r="H320" s="101" t="s">
        <v>34</v>
      </c>
      <c r="I320" s="101" t="s">
        <v>34</v>
      </c>
      <c r="J320" s="101" t="s">
        <v>34</v>
      </c>
      <c r="K320" s="101" t="s">
        <v>34</v>
      </c>
      <c r="L320" s="101" t="s">
        <v>34</v>
      </c>
      <c r="M320" s="101" t="s">
        <v>34</v>
      </c>
      <c r="N320" s="88" t="s">
        <v>36</v>
      </c>
      <c r="O320" s="104">
        <f>VLOOKUP(E320,'[2]STOCK  19.09.2017'!$F$6:$I$233,4,0)</f>
        <v>50</v>
      </c>
    </row>
    <row r="321" spans="1:15" ht="18.75" customHeight="1">
      <c r="A321" s="85">
        <v>516</v>
      </c>
      <c r="B321" s="102" t="s">
        <v>33</v>
      </c>
      <c r="C321" s="86">
        <v>100991</v>
      </c>
      <c r="D321" s="87" t="s">
        <v>276</v>
      </c>
      <c r="E321" s="102">
        <v>50003609</v>
      </c>
      <c r="F321" s="103" t="s">
        <v>257</v>
      </c>
      <c r="G321" s="102"/>
      <c r="H321" s="101" t="s">
        <v>34</v>
      </c>
      <c r="I321" s="101" t="s">
        <v>34</v>
      </c>
      <c r="J321" s="101" t="s">
        <v>34</v>
      </c>
      <c r="K321" s="101" t="s">
        <v>34</v>
      </c>
      <c r="L321" s="101" t="s">
        <v>34</v>
      </c>
      <c r="M321" s="101" t="s">
        <v>34</v>
      </c>
      <c r="N321" s="88" t="s">
        <v>36</v>
      </c>
      <c r="O321" s="104">
        <f>VLOOKUP(E321,'[2]STOCK  19.09.2017'!$F$6:$I$233,4,0)</f>
        <v>31</v>
      </c>
    </row>
    <row r="322" spans="1:15" ht="18.75" customHeight="1">
      <c r="A322" s="85">
        <v>521</v>
      </c>
      <c r="B322" s="102" t="s">
        <v>33</v>
      </c>
      <c r="C322" s="86">
        <v>100991</v>
      </c>
      <c r="D322" s="87" t="s">
        <v>276</v>
      </c>
      <c r="E322" s="102">
        <v>50008140</v>
      </c>
      <c r="F322" s="103" t="s">
        <v>258</v>
      </c>
      <c r="G322" s="102"/>
      <c r="H322" s="101" t="s">
        <v>34</v>
      </c>
      <c r="I322" s="101" t="s">
        <v>34</v>
      </c>
      <c r="J322" s="101" t="s">
        <v>34</v>
      </c>
      <c r="K322" s="101" t="s">
        <v>34</v>
      </c>
      <c r="L322" s="101" t="s">
        <v>34</v>
      </c>
      <c r="M322" s="101" t="s">
        <v>34</v>
      </c>
      <c r="N322" s="88" t="s">
        <v>36</v>
      </c>
      <c r="O322" s="104">
        <f>VLOOKUP(E322,'[2]STOCK  19.09.2017'!$F$6:$I$233,4,0)</f>
        <v>100</v>
      </c>
    </row>
    <row r="323" spans="1:15" ht="18.75" customHeight="1">
      <c r="A323" s="85">
        <v>522</v>
      </c>
      <c r="B323" s="102" t="s">
        <v>33</v>
      </c>
      <c r="C323" s="86">
        <v>100991</v>
      </c>
      <c r="D323" s="87" t="s">
        <v>276</v>
      </c>
      <c r="E323" s="102">
        <v>50008142</v>
      </c>
      <c r="F323" s="103" t="s">
        <v>259</v>
      </c>
      <c r="G323" s="102"/>
      <c r="H323" s="101" t="s">
        <v>34</v>
      </c>
      <c r="I323" s="101" t="s">
        <v>34</v>
      </c>
      <c r="J323" s="101" t="s">
        <v>34</v>
      </c>
      <c r="K323" s="101" t="s">
        <v>34</v>
      </c>
      <c r="L323" s="101" t="s">
        <v>34</v>
      </c>
      <c r="M323" s="101" t="s">
        <v>34</v>
      </c>
      <c r="N323" s="88" t="s">
        <v>36</v>
      </c>
      <c r="O323" s="104">
        <f>VLOOKUP(E323,'[2]STOCK  19.09.2017'!$F$6:$I$233,4,0)</f>
        <v>15</v>
      </c>
    </row>
    <row r="324" spans="1:15" ht="18.75" customHeight="1">
      <c r="A324" s="85">
        <v>523</v>
      </c>
      <c r="B324" s="102" t="s">
        <v>33</v>
      </c>
      <c r="C324" s="86">
        <v>100991</v>
      </c>
      <c r="D324" s="87" t="s">
        <v>276</v>
      </c>
      <c r="E324" s="102">
        <v>50008294</v>
      </c>
      <c r="F324" s="103" t="s">
        <v>260</v>
      </c>
      <c r="G324" s="102"/>
      <c r="H324" s="101" t="s">
        <v>34</v>
      </c>
      <c r="I324" s="101" t="s">
        <v>34</v>
      </c>
      <c r="J324" s="101" t="s">
        <v>34</v>
      </c>
      <c r="K324" s="101" t="s">
        <v>34</v>
      </c>
      <c r="L324" s="101" t="s">
        <v>34</v>
      </c>
      <c r="M324" s="101" t="s">
        <v>34</v>
      </c>
      <c r="N324" s="88" t="s">
        <v>36</v>
      </c>
      <c r="O324" s="104" t="e">
        <f>VLOOKUP(E324,'[2]STOCK  19.09.2017'!$F$6:$I$233,4,0)</f>
        <v>#N/A</v>
      </c>
    </row>
    <row r="325" spans="1:15" ht="18.75" customHeight="1">
      <c r="A325" s="85">
        <v>524</v>
      </c>
      <c r="B325" s="102" t="s">
        <v>33</v>
      </c>
      <c r="C325" s="86">
        <v>100991</v>
      </c>
      <c r="D325" s="87" t="s">
        <v>276</v>
      </c>
      <c r="E325" s="102">
        <v>50008296</v>
      </c>
      <c r="F325" s="103" t="s">
        <v>261</v>
      </c>
      <c r="G325" s="102"/>
      <c r="H325" s="101" t="s">
        <v>34</v>
      </c>
      <c r="I325" s="101" t="s">
        <v>34</v>
      </c>
      <c r="J325" s="101" t="s">
        <v>34</v>
      </c>
      <c r="K325" s="101" t="s">
        <v>34</v>
      </c>
      <c r="L325" s="101" t="s">
        <v>34</v>
      </c>
      <c r="M325" s="101" t="s">
        <v>34</v>
      </c>
      <c r="N325" s="88" t="s">
        <v>36</v>
      </c>
      <c r="O325" s="104">
        <f>VLOOKUP(E325,'[2]STOCK  19.09.2017'!$F$6:$I$233,4,0)</f>
        <v>200</v>
      </c>
    </row>
    <row r="326" spans="1:15" ht="18.75" customHeight="1">
      <c r="A326" s="85">
        <v>525</v>
      </c>
      <c r="B326" s="102" t="s">
        <v>33</v>
      </c>
      <c r="C326" s="86">
        <v>100991</v>
      </c>
      <c r="D326" s="87" t="s">
        <v>276</v>
      </c>
      <c r="E326" s="102">
        <v>50011083</v>
      </c>
      <c r="F326" s="103" t="s">
        <v>262</v>
      </c>
      <c r="G326" s="102"/>
      <c r="H326" s="101" t="s">
        <v>34</v>
      </c>
      <c r="I326" s="101" t="s">
        <v>34</v>
      </c>
      <c r="J326" s="101" t="s">
        <v>34</v>
      </c>
      <c r="K326" s="101" t="s">
        <v>34</v>
      </c>
      <c r="L326" s="101" t="s">
        <v>34</v>
      </c>
      <c r="M326" s="101" t="s">
        <v>34</v>
      </c>
      <c r="N326" s="88" t="s">
        <v>36</v>
      </c>
      <c r="O326" s="104" t="e">
        <f>VLOOKUP(E326,'[2]STOCK  19.09.2017'!$F$6:$I$233,4,0)</f>
        <v>#N/A</v>
      </c>
    </row>
    <row r="327" spans="1:15" ht="18.75" customHeight="1">
      <c r="A327" s="85">
        <v>526</v>
      </c>
      <c r="B327" s="102" t="s">
        <v>33</v>
      </c>
      <c r="C327" s="86">
        <v>100991</v>
      </c>
      <c r="D327" s="87" t="s">
        <v>276</v>
      </c>
      <c r="E327" s="90">
        <v>50009833</v>
      </c>
      <c r="F327" s="105" t="s">
        <v>263</v>
      </c>
      <c r="G327" s="102"/>
      <c r="H327" s="101">
        <v>1000</v>
      </c>
      <c r="I327" s="101">
        <v>1000</v>
      </c>
      <c r="J327" s="101">
        <v>900</v>
      </c>
      <c r="K327" s="101" t="s">
        <v>34</v>
      </c>
      <c r="L327" s="101" t="s">
        <v>34</v>
      </c>
      <c r="M327" s="101" t="s">
        <v>34</v>
      </c>
      <c r="N327" s="88" t="s">
        <v>36</v>
      </c>
      <c r="O327" s="104" t="e">
        <f>VLOOKUP(E327,'[2]STOCK  19.09.2017'!$F$6:$I$233,4,0)</f>
        <v>#N/A</v>
      </c>
    </row>
    <row r="328" spans="1:15" ht="18.75" customHeight="1">
      <c r="A328" s="85">
        <v>534</v>
      </c>
      <c r="B328" s="102" t="s">
        <v>33</v>
      </c>
      <c r="C328" s="86">
        <v>100802</v>
      </c>
      <c r="D328" s="87" t="s">
        <v>277</v>
      </c>
      <c r="E328" s="102">
        <v>50001285</v>
      </c>
      <c r="F328" s="103" t="s">
        <v>156</v>
      </c>
      <c r="G328" s="102" t="s">
        <v>285</v>
      </c>
      <c r="H328" s="101">
        <v>8000</v>
      </c>
      <c r="I328" s="101">
        <v>16000</v>
      </c>
      <c r="J328" s="101">
        <v>13000</v>
      </c>
      <c r="K328" s="101">
        <v>15000</v>
      </c>
      <c r="L328" s="101">
        <v>15000</v>
      </c>
      <c r="M328" s="101">
        <v>16000</v>
      </c>
      <c r="N328" s="88" t="s">
        <v>36</v>
      </c>
      <c r="O328" s="104">
        <f>VLOOKUP(E328,'[2]STOCK  19.09.2017'!$F$6:$I$233,4,0)</f>
        <v>3000</v>
      </c>
    </row>
    <row r="329" spans="1:15" ht="18.75" customHeight="1">
      <c r="A329" s="85">
        <v>535</v>
      </c>
      <c r="B329" s="102" t="s">
        <v>33</v>
      </c>
      <c r="C329" s="93">
        <v>100802</v>
      </c>
      <c r="D329" s="94" t="s">
        <v>277</v>
      </c>
      <c r="E329" s="102">
        <v>50001290</v>
      </c>
      <c r="F329" s="103" t="s">
        <v>157</v>
      </c>
      <c r="G329" s="102" t="s">
        <v>285</v>
      </c>
      <c r="H329" s="101">
        <v>8000</v>
      </c>
      <c r="I329" s="101">
        <v>16000</v>
      </c>
      <c r="J329" s="101">
        <v>13000</v>
      </c>
      <c r="K329" s="101">
        <v>15000</v>
      </c>
      <c r="L329" s="101">
        <v>15000</v>
      </c>
      <c r="M329" s="101">
        <v>16000</v>
      </c>
      <c r="N329" s="88" t="s">
        <v>36</v>
      </c>
      <c r="O329" s="104">
        <f>VLOOKUP(E329,'[2]STOCK  19.09.2017'!$F$6:$I$233,4,0)</f>
        <v>5000</v>
      </c>
    </row>
    <row r="330" spans="1:15" ht="18.75" customHeight="1">
      <c r="A330" s="85">
        <v>536</v>
      </c>
      <c r="B330" s="102" t="s">
        <v>33</v>
      </c>
      <c r="C330" s="93">
        <v>100802</v>
      </c>
      <c r="D330" s="94" t="s">
        <v>277</v>
      </c>
      <c r="E330" s="102">
        <v>50001294</v>
      </c>
      <c r="F330" s="103" t="s">
        <v>158</v>
      </c>
      <c r="G330" s="102"/>
      <c r="H330" s="101" t="s">
        <v>34</v>
      </c>
      <c r="I330" s="101" t="s">
        <v>34</v>
      </c>
      <c r="J330" s="101" t="s">
        <v>34</v>
      </c>
      <c r="K330" s="101" t="s">
        <v>34</v>
      </c>
      <c r="L330" s="101" t="s">
        <v>34</v>
      </c>
      <c r="M330" s="101" t="s">
        <v>34</v>
      </c>
      <c r="N330" s="88" t="s">
        <v>36</v>
      </c>
      <c r="O330" s="104" t="e">
        <f>VLOOKUP(E330,'[2]STOCK  19.09.2017'!$F$6:$I$233,4,0)</f>
        <v>#N/A</v>
      </c>
    </row>
    <row r="331" spans="1:15" ht="18.75" customHeight="1">
      <c r="A331" s="85">
        <v>537</v>
      </c>
      <c r="B331" s="102" t="s">
        <v>33</v>
      </c>
      <c r="C331" s="93">
        <v>100802</v>
      </c>
      <c r="D331" s="94" t="s">
        <v>277</v>
      </c>
      <c r="E331" s="102">
        <v>50001295</v>
      </c>
      <c r="F331" s="103" t="s">
        <v>264</v>
      </c>
      <c r="G331" s="102"/>
      <c r="H331" s="101" t="s">
        <v>34</v>
      </c>
      <c r="I331" s="101" t="s">
        <v>34</v>
      </c>
      <c r="J331" s="101" t="s">
        <v>34</v>
      </c>
      <c r="K331" s="101" t="s">
        <v>34</v>
      </c>
      <c r="L331" s="101" t="s">
        <v>34</v>
      </c>
      <c r="M331" s="101" t="s">
        <v>34</v>
      </c>
      <c r="N331" s="88" t="s">
        <v>36</v>
      </c>
      <c r="O331" s="104">
        <f>VLOOKUP(E331,'[2]STOCK  19.09.2017'!$F$6:$I$233,4,0)</f>
        <v>5000</v>
      </c>
    </row>
    <row r="332" spans="1:15" ht="18.75" customHeight="1">
      <c r="A332" s="85">
        <v>538</v>
      </c>
      <c r="B332" s="102" t="s">
        <v>33</v>
      </c>
      <c r="C332" s="93">
        <v>100802</v>
      </c>
      <c r="D332" s="94" t="s">
        <v>277</v>
      </c>
      <c r="E332" s="102">
        <v>50020834</v>
      </c>
      <c r="F332" s="103" t="s">
        <v>301</v>
      </c>
      <c r="G332" s="102" t="s">
        <v>282</v>
      </c>
      <c r="H332" s="101">
        <v>44000</v>
      </c>
      <c r="I332" s="101">
        <v>67000</v>
      </c>
      <c r="J332" s="101">
        <v>40000</v>
      </c>
      <c r="K332" s="101">
        <v>54000</v>
      </c>
      <c r="L332" s="101">
        <v>60000</v>
      </c>
      <c r="M332" s="101">
        <v>54000</v>
      </c>
      <c r="N332" s="88" t="s">
        <v>36</v>
      </c>
      <c r="O332" s="104">
        <f>VLOOKUP(E332,'[2]STOCK  19.09.2017'!$F$6:$I$233,4,0)</f>
        <v>16000</v>
      </c>
    </row>
    <row r="333" spans="1:15" ht="18.75" customHeight="1">
      <c r="A333" s="85">
        <v>539</v>
      </c>
      <c r="B333" s="102" t="s">
        <v>33</v>
      </c>
      <c r="C333" s="93">
        <v>100802</v>
      </c>
      <c r="D333" s="94" t="s">
        <v>277</v>
      </c>
      <c r="E333" s="102">
        <v>50001512</v>
      </c>
      <c r="F333" s="103" t="s">
        <v>408</v>
      </c>
      <c r="G333" s="103" t="s">
        <v>364</v>
      </c>
      <c r="H333" s="101">
        <v>400</v>
      </c>
      <c r="I333" s="101">
        <v>800</v>
      </c>
      <c r="J333" s="101">
        <v>500</v>
      </c>
      <c r="K333" s="101">
        <v>400</v>
      </c>
      <c r="L333" s="101" t="s">
        <v>34</v>
      </c>
      <c r="M333" s="101" t="s">
        <v>34</v>
      </c>
      <c r="N333" s="88" t="s">
        <v>36</v>
      </c>
      <c r="O333" s="104">
        <f>VLOOKUP(E333,'[2]STOCK  19.09.2017'!$F$6:$I$233,4,0)</f>
        <v>1000</v>
      </c>
    </row>
    <row r="334" spans="1:15" ht="18.75" customHeight="1">
      <c r="A334" s="85">
        <v>540</v>
      </c>
      <c r="B334" s="102" t="s">
        <v>33</v>
      </c>
      <c r="C334" s="93">
        <v>100802</v>
      </c>
      <c r="D334" s="94" t="s">
        <v>277</v>
      </c>
      <c r="E334" s="102">
        <v>50001513</v>
      </c>
      <c r="F334" s="103" t="s">
        <v>409</v>
      </c>
      <c r="G334" s="103" t="s">
        <v>414</v>
      </c>
      <c r="H334" s="101">
        <v>200</v>
      </c>
      <c r="I334" s="101">
        <v>200</v>
      </c>
      <c r="J334" s="101">
        <v>100</v>
      </c>
      <c r="K334" s="101">
        <v>200</v>
      </c>
      <c r="L334" s="101" t="s">
        <v>34</v>
      </c>
      <c r="M334" s="101" t="s">
        <v>34</v>
      </c>
      <c r="N334" s="88" t="s">
        <v>36</v>
      </c>
      <c r="O334" s="104">
        <f>VLOOKUP(E334,'[2]STOCK  19.09.2017'!$F$6:$I$233,4,0)</f>
        <v>1000</v>
      </c>
    </row>
    <row r="335" spans="1:15" ht="18.75" customHeight="1">
      <c r="A335" s="85">
        <v>541</v>
      </c>
      <c r="B335" s="102" t="s">
        <v>33</v>
      </c>
      <c r="C335" s="93">
        <v>100802</v>
      </c>
      <c r="D335" s="94" t="s">
        <v>277</v>
      </c>
      <c r="E335" s="102">
        <v>50001835</v>
      </c>
      <c r="F335" s="103" t="s">
        <v>410</v>
      </c>
      <c r="G335" s="103" t="s">
        <v>415</v>
      </c>
      <c r="H335" s="101">
        <v>400</v>
      </c>
      <c r="I335" s="101">
        <v>800</v>
      </c>
      <c r="J335" s="101">
        <v>500</v>
      </c>
      <c r="K335" s="101">
        <v>400</v>
      </c>
      <c r="L335" s="101" t="s">
        <v>34</v>
      </c>
      <c r="M335" s="101" t="s">
        <v>34</v>
      </c>
      <c r="N335" s="88" t="s">
        <v>36</v>
      </c>
      <c r="O335" s="104">
        <f>VLOOKUP(E335,'[2]STOCK  19.09.2017'!$F$6:$I$233,4,0)</f>
        <v>600</v>
      </c>
    </row>
    <row r="336" spans="1:15" ht="18.75" customHeight="1">
      <c r="A336" s="85">
        <v>542</v>
      </c>
      <c r="B336" s="102" t="s">
        <v>33</v>
      </c>
      <c r="C336" s="93">
        <v>100802</v>
      </c>
      <c r="D336" s="94" t="s">
        <v>277</v>
      </c>
      <c r="E336" s="102">
        <v>50001860</v>
      </c>
      <c r="F336" s="103" t="s">
        <v>411</v>
      </c>
      <c r="G336" s="102" t="s">
        <v>413</v>
      </c>
      <c r="H336" s="101">
        <v>300</v>
      </c>
      <c r="I336" s="101">
        <v>400</v>
      </c>
      <c r="J336" s="101">
        <v>300</v>
      </c>
      <c r="K336" s="101">
        <v>300</v>
      </c>
      <c r="L336" s="101" t="s">
        <v>34</v>
      </c>
      <c r="M336" s="101" t="s">
        <v>34</v>
      </c>
      <c r="N336" s="88" t="s">
        <v>36</v>
      </c>
      <c r="O336" s="104">
        <f>VLOOKUP(E336,'[2]STOCK  19.09.2017'!$F$6:$I$233,4,0)</f>
        <v>400</v>
      </c>
    </row>
    <row r="337" spans="1:15" ht="18.75" customHeight="1">
      <c r="A337" s="85">
        <v>543</v>
      </c>
      <c r="B337" s="102" t="s">
        <v>33</v>
      </c>
      <c r="C337" s="93">
        <v>100802</v>
      </c>
      <c r="D337" s="94" t="s">
        <v>277</v>
      </c>
      <c r="E337" s="102">
        <v>50001841</v>
      </c>
      <c r="F337" s="103" t="s">
        <v>375</v>
      </c>
      <c r="G337" s="103" t="s">
        <v>364</v>
      </c>
      <c r="H337" s="101">
        <v>200</v>
      </c>
      <c r="I337" s="101">
        <v>400</v>
      </c>
      <c r="J337" s="101">
        <v>300</v>
      </c>
      <c r="K337" s="101">
        <v>200</v>
      </c>
      <c r="L337" s="101" t="s">
        <v>34</v>
      </c>
      <c r="M337" s="101" t="s">
        <v>34</v>
      </c>
      <c r="N337" s="31" t="s">
        <v>36</v>
      </c>
      <c r="O337" s="104">
        <f>VLOOKUP(E337,'[2]STOCK  19.09.2017'!$F$6:$I$233,4,0)</f>
        <v>300</v>
      </c>
    </row>
    <row r="338" spans="1:15" ht="18.75" customHeight="1">
      <c r="A338" s="85">
        <v>544</v>
      </c>
      <c r="B338" s="102" t="s">
        <v>33</v>
      </c>
      <c r="C338" s="93">
        <v>100802</v>
      </c>
      <c r="D338" s="94" t="s">
        <v>277</v>
      </c>
      <c r="E338" s="102">
        <v>50001858</v>
      </c>
      <c r="F338" s="103" t="s">
        <v>378</v>
      </c>
      <c r="G338" s="103" t="s">
        <v>366</v>
      </c>
      <c r="H338" s="101">
        <v>2000</v>
      </c>
      <c r="I338" s="101">
        <v>3000</v>
      </c>
      <c r="J338" s="101">
        <v>2400</v>
      </c>
      <c r="K338" s="101">
        <v>2200</v>
      </c>
      <c r="L338" s="101" t="s">
        <v>34</v>
      </c>
      <c r="M338" s="101" t="s">
        <v>34</v>
      </c>
      <c r="N338" s="31" t="s">
        <v>36</v>
      </c>
      <c r="O338" s="104">
        <f>VLOOKUP(E338,'[2]STOCK  19.09.2017'!$F$6:$I$233,4,0)</f>
        <v>600</v>
      </c>
    </row>
    <row r="339" spans="1:15" ht="18.75" customHeight="1">
      <c r="A339" s="85">
        <v>545</v>
      </c>
      <c r="B339" s="102" t="s">
        <v>33</v>
      </c>
      <c r="C339" s="93">
        <v>100802</v>
      </c>
      <c r="D339" s="94" t="s">
        <v>277</v>
      </c>
      <c r="E339" s="102">
        <v>50001871</v>
      </c>
      <c r="F339" s="103" t="s">
        <v>379</v>
      </c>
      <c r="G339" s="103" t="s">
        <v>366</v>
      </c>
      <c r="H339" s="101">
        <v>2000</v>
      </c>
      <c r="I339" s="101">
        <v>3200</v>
      </c>
      <c r="J339" s="101">
        <v>2600</v>
      </c>
      <c r="K339" s="101">
        <v>2300</v>
      </c>
      <c r="L339" s="101" t="s">
        <v>34</v>
      </c>
      <c r="M339" s="101" t="s">
        <v>34</v>
      </c>
      <c r="N339" s="31" t="s">
        <v>36</v>
      </c>
      <c r="O339" s="104">
        <f>VLOOKUP(E339,'[2]STOCK  19.09.2017'!$F$6:$I$233,4,0)</f>
        <v>600</v>
      </c>
    </row>
    <row r="340" spans="1:15">
      <c r="A340" s="95"/>
      <c r="B340" s="96"/>
      <c r="C340" s="96"/>
      <c r="D340" s="97"/>
      <c r="E340" s="98"/>
      <c r="F340" s="97"/>
      <c r="G340" s="97"/>
      <c r="H340" s="97"/>
      <c r="I340" s="97"/>
      <c r="J340" s="97"/>
      <c r="K340" s="97"/>
      <c r="L340" s="97"/>
      <c r="M340" s="97"/>
      <c r="N340" s="97"/>
    </row>
  </sheetData>
  <autoFilter ref="A1:N339" xr:uid="{00000000-0009-0000-0000-00002A000000}"/>
  <conditionalFormatting sqref="B2:C339">
    <cfRule type="cellIs" dxfId="1" priority="1" stopIfTrue="1" operator="between">
      <formula>40000000</formula>
      <formula>49999999</formula>
    </cfRule>
    <cfRule type="cellIs" dxfId="0" priority="2" operator="between">
      <formula>20000000</formula>
      <formula>29999999</formula>
    </cfRule>
    <cfRule type="cellIs" priority="3" stopIfTrue="1" operator="between">
      <formula>40000000</formula>
      <formula>49999999</formula>
    </cfRule>
    <cfRule type="cellIs" priority="4" operator="between">
      <formula>20000000</formula>
      <formula>29999999</formula>
    </cfRule>
  </conditionalFormatting>
  <conditionalFormatting sqref="E1:G1 E340:E65714">
    <cfRule type="cellIs" priority="931" stopIfTrue="1" operator="between">
      <formula>40000000</formula>
      <formula>49999999</formula>
    </cfRule>
    <cfRule type="cellIs" priority="932" operator="between">
      <formula>20000000</formula>
      <formula>29999999</formula>
    </cfRule>
  </conditionalFormatting>
  <printOptions horizontalCentered="1"/>
  <pageMargins left="3.937007874015748E-2" right="3.937007874015748E-2" top="3.937007874015748E-2" bottom="0.59055118110236227" header="0.31496062992125984" footer="3.937007874015748E-2"/>
  <pageSetup paperSize="9" scale="68" fitToHeight="10" orientation="landscape" r:id="rId1"/>
  <headerFooter>
    <oddFooter xml:space="preserve">&amp;LWIS-071-006&amp;R    F-PLS-001-0  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 บจก. เอ็มซี (ISUZU) (2)</vt:lpstr>
      <vt:lpstr>บจก. เพนต้า</vt:lpstr>
      <vt:lpstr>Total  (2)</vt:lpstr>
      <vt:lpstr>' บจก. เอ็มซี (ISUZU) (2)'!Print_Titles</vt:lpstr>
      <vt:lpstr>'Total  (2)'!Print_Titles</vt:lpstr>
      <vt:lpstr>'บจก. เพนต้า'!Print_Titles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Somdej Phansoda</dc:creator>
  <cp:lastModifiedBy>pttsale</cp:lastModifiedBy>
  <cp:lastPrinted>2021-03-01T07:18:10Z</cp:lastPrinted>
  <dcterms:created xsi:type="dcterms:W3CDTF">2010-03-02T07:45:33Z</dcterms:created>
  <dcterms:modified xsi:type="dcterms:W3CDTF">2026-06-18T10:00:09Z</dcterms:modified>
</cp:coreProperties>
</file>